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ownloads\"/>
    </mc:Choice>
  </mc:AlternateContent>
  <xr:revisionPtr revIDLastSave="0" documentId="8_{0A415B9E-E851-1B49-A74B-74A3416549B9}" xr6:coauthVersionLast="47" xr6:coauthVersionMax="47" xr10:uidLastSave="{00000000-0000-0000-0000-000000000000}"/>
  <bookViews>
    <workbookView xWindow="0" yWindow="0" windowWidth="11490" windowHeight="11670" activeTab="2" xr2:uid="{00000000-000D-0000-FFFF-FFFF00000000}"/>
  </bookViews>
  <sheets>
    <sheet name="mwanza" sheetId="2" r:id="rId1"/>
    <sheet name="Dar" sheetId="1" r:id="rId2"/>
    <sheet name="dodoma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4" i="3" l="1"/>
  <c r="F94" i="3"/>
  <c r="E93" i="3"/>
  <c r="F93" i="3"/>
  <c r="E98" i="1"/>
  <c r="F98" i="1"/>
  <c r="E97" i="1"/>
  <c r="F97" i="1"/>
  <c r="E97" i="2"/>
  <c r="F97" i="2"/>
  <c r="E96" i="2"/>
  <c r="F96" i="2"/>
  <c r="E93" i="2"/>
  <c r="F93" i="2"/>
  <c r="E92" i="2"/>
  <c r="F92" i="2"/>
  <c r="E91" i="2"/>
  <c r="F91" i="2"/>
  <c r="E90" i="2"/>
  <c r="F90" i="2"/>
  <c r="E89" i="2"/>
  <c r="F89" i="2"/>
  <c r="E88" i="2"/>
  <c r="F88" i="2"/>
  <c r="G15" i="2"/>
  <c r="E15" i="2"/>
  <c r="F15" i="2"/>
  <c r="G14" i="2"/>
  <c r="E14" i="2"/>
  <c r="F14" i="2"/>
  <c r="G13" i="2"/>
  <c r="E13" i="2"/>
  <c r="F13" i="2"/>
  <c r="G12" i="2"/>
  <c r="E12" i="2"/>
  <c r="F12" i="2"/>
  <c r="G11" i="2"/>
  <c r="E11" i="2"/>
  <c r="F11" i="2"/>
  <c r="G10" i="2"/>
  <c r="E10" i="2"/>
  <c r="F10" i="2"/>
  <c r="G9" i="2"/>
  <c r="E9" i="2"/>
  <c r="F9" i="2"/>
  <c r="G8" i="2"/>
  <c r="E8" i="2"/>
  <c r="F8" i="2"/>
  <c r="G7" i="2"/>
  <c r="E7" i="2"/>
  <c r="F7" i="2"/>
  <c r="G6" i="2"/>
  <c r="E6" i="2"/>
  <c r="F6" i="2"/>
  <c r="G15" i="1"/>
  <c r="E15" i="1"/>
  <c r="F15" i="1"/>
  <c r="G14" i="1"/>
  <c r="E14" i="1"/>
  <c r="F14" i="1"/>
  <c r="G13" i="1"/>
  <c r="E13" i="1"/>
  <c r="F13" i="1"/>
  <c r="G12" i="1"/>
  <c r="E12" i="1"/>
  <c r="F12" i="1"/>
  <c r="G11" i="1"/>
  <c r="E11" i="1"/>
  <c r="F11" i="1"/>
  <c r="G10" i="1"/>
  <c r="E10" i="1"/>
  <c r="F10" i="1"/>
  <c r="G9" i="1"/>
  <c r="E9" i="1"/>
  <c r="F9" i="1"/>
  <c r="G8" i="1"/>
  <c r="E8" i="1"/>
  <c r="F8" i="1"/>
  <c r="G7" i="1"/>
  <c r="E7" i="1"/>
  <c r="F7" i="1"/>
  <c r="G6" i="1"/>
  <c r="E6" i="1"/>
  <c r="F6" i="1"/>
  <c r="G15" i="3"/>
  <c r="E15" i="3"/>
  <c r="F15" i="3"/>
  <c r="G14" i="3"/>
  <c r="E14" i="3"/>
  <c r="F14" i="3"/>
  <c r="G13" i="3"/>
  <c r="E13" i="3"/>
  <c r="F13" i="3"/>
  <c r="G12" i="3"/>
  <c r="E12" i="3"/>
  <c r="F12" i="3"/>
  <c r="G11" i="3"/>
  <c r="E11" i="3"/>
  <c r="F11" i="3"/>
  <c r="G10" i="3"/>
  <c r="E10" i="3"/>
  <c r="F10" i="3"/>
  <c r="G9" i="3"/>
  <c r="E9" i="3"/>
  <c r="F9" i="3"/>
  <c r="G8" i="3"/>
  <c r="E8" i="3"/>
  <c r="F8" i="3"/>
  <c r="G7" i="3"/>
  <c r="E7" i="3"/>
  <c r="F7" i="3"/>
  <c r="G6" i="3"/>
  <c r="E6" i="3"/>
  <c r="F6" i="3"/>
  <c r="G23" i="3"/>
  <c r="E23" i="3"/>
  <c r="F23" i="3"/>
  <c r="G22" i="3"/>
  <c r="E22" i="3"/>
  <c r="F22" i="3"/>
  <c r="G21" i="3"/>
  <c r="E21" i="3"/>
  <c r="F21" i="3"/>
  <c r="G20" i="3"/>
  <c r="E20" i="3"/>
  <c r="F20" i="3"/>
  <c r="G25" i="2"/>
  <c r="E25" i="2"/>
  <c r="F25" i="2"/>
  <c r="G24" i="2"/>
  <c r="E24" i="2"/>
  <c r="F24" i="2"/>
  <c r="G23" i="2"/>
  <c r="E23" i="2"/>
  <c r="F23" i="2"/>
  <c r="G22" i="2"/>
  <c r="E22" i="2"/>
  <c r="F22" i="2"/>
  <c r="G21" i="2"/>
  <c r="E21" i="2"/>
  <c r="F21" i="2"/>
  <c r="G20" i="2"/>
  <c r="E20" i="2"/>
  <c r="F20" i="2"/>
  <c r="G31" i="3"/>
  <c r="E31" i="3"/>
  <c r="F31" i="3"/>
  <c r="G32" i="3"/>
  <c r="E32" i="3"/>
  <c r="F32" i="3"/>
  <c r="G33" i="3"/>
  <c r="E33" i="3"/>
  <c r="F33" i="3"/>
  <c r="G34" i="3"/>
  <c r="E34" i="3"/>
  <c r="F34" i="3"/>
  <c r="G35" i="3"/>
  <c r="E35" i="3"/>
  <c r="F35" i="3"/>
  <c r="G36" i="3"/>
  <c r="E36" i="3"/>
  <c r="F36" i="3"/>
  <c r="G37" i="3"/>
  <c r="E37" i="3"/>
  <c r="F37" i="3"/>
  <c r="G38" i="3"/>
  <c r="E38" i="3"/>
  <c r="F38" i="3"/>
  <c r="G39" i="3"/>
  <c r="E39" i="3"/>
  <c r="F39" i="3"/>
  <c r="G40" i="3"/>
  <c r="E40" i="3"/>
  <c r="F40" i="3"/>
  <c r="G41" i="3"/>
  <c r="E41" i="3"/>
  <c r="F41" i="3"/>
  <c r="G42" i="3"/>
  <c r="E42" i="3"/>
  <c r="F42" i="3"/>
  <c r="G43" i="3"/>
  <c r="E43" i="3"/>
  <c r="F43" i="3"/>
  <c r="G44" i="3"/>
  <c r="E44" i="3"/>
  <c r="F44" i="3"/>
  <c r="G45" i="3"/>
  <c r="E45" i="3"/>
  <c r="F45" i="3"/>
  <c r="G46" i="3"/>
  <c r="E46" i="3"/>
  <c r="F46" i="3"/>
  <c r="G30" i="3"/>
  <c r="E30" i="3"/>
  <c r="F30" i="3"/>
  <c r="E29" i="3"/>
  <c r="F29" i="3"/>
  <c r="G57" i="3"/>
  <c r="E57" i="3"/>
  <c r="F57" i="3"/>
  <c r="G56" i="3"/>
  <c r="E56" i="3"/>
  <c r="F56" i="3"/>
  <c r="G55" i="3"/>
  <c r="E55" i="3"/>
  <c r="F55" i="3"/>
  <c r="G54" i="3"/>
  <c r="E54" i="3"/>
  <c r="F54" i="3"/>
  <c r="G53" i="3"/>
  <c r="E53" i="3"/>
  <c r="F53" i="3"/>
  <c r="G52" i="3"/>
  <c r="E52" i="3"/>
  <c r="F52" i="3"/>
  <c r="G51" i="3"/>
  <c r="E51" i="3"/>
  <c r="F51" i="3"/>
  <c r="E66" i="3"/>
  <c r="F66" i="3"/>
  <c r="E65" i="3"/>
  <c r="F65" i="3"/>
  <c r="E64" i="3"/>
  <c r="F64" i="3"/>
  <c r="E63" i="3"/>
  <c r="F63" i="3"/>
  <c r="E75" i="3"/>
  <c r="F75" i="3"/>
  <c r="E74" i="3"/>
  <c r="F74" i="3"/>
  <c r="E73" i="3"/>
  <c r="F73" i="3"/>
  <c r="E72" i="3"/>
  <c r="F72" i="3"/>
  <c r="E71" i="3"/>
  <c r="F71" i="3"/>
  <c r="E70" i="3"/>
  <c r="F70" i="3"/>
  <c r="F82" i="3"/>
  <c r="G82" i="3"/>
  <c r="F81" i="3"/>
  <c r="G81" i="3"/>
  <c r="F80" i="3"/>
  <c r="G80" i="3"/>
  <c r="F79" i="3"/>
  <c r="G79" i="3"/>
  <c r="F85" i="2"/>
  <c r="G85" i="2"/>
  <c r="F84" i="2"/>
  <c r="G84" i="2"/>
  <c r="F83" i="2"/>
  <c r="G83" i="2"/>
  <c r="F82" i="2"/>
  <c r="G82" i="2"/>
  <c r="E78" i="2"/>
  <c r="F78" i="2"/>
  <c r="E77" i="2"/>
  <c r="F77" i="2"/>
  <c r="E76" i="2"/>
  <c r="F76" i="2"/>
  <c r="E75" i="2"/>
  <c r="F75" i="2"/>
  <c r="E74" i="2"/>
  <c r="F74" i="2"/>
  <c r="E73" i="2"/>
  <c r="F73" i="2"/>
  <c r="E72" i="2"/>
  <c r="F72" i="2"/>
  <c r="E71" i="2"/>
  <c r="F71" i="2"/>
  <c r="E70" i="2"/>
  <c r="F70" i="2"/>
  <c r="E66" i="2"/>
  <c r="F66" i="2"/>
  <c r="E65" i="2"/>
  <c r="F65" i="2"/>
  <c r="E64" i="2"/>
  <c r="F64" i="2"/>
  <c r="E63" i="2"/>
  <c r="F63" i="2"/>
  <c r="G57" i="2"/>
  <c r="E57" i="2"/>
  <c r="F57" i="2"/>
  <c r="G56" i="2"/>
  <c r="E56" i="2"/>
  <c r="F56" i="2"/>
  <c r="G55" i="2"/>
  <c r="E55" i="2"/>
  <c r="F55" i="2"/>
  <c r="G54" i="2"/>
  <c r="E54" i="2"/>
  <c r="F54" i="2"/>
  <c r="G53" i="2"/>
  <c r="E53" i="2"/>
  <c r="F53" i="2"/>
  <c r="G52" i="2"/>
  <c r="E52" i="2"/>
  <c r="F52" i="2"/>
  <c r="G51" i="2"/>
  <c r="E51" i="2"/>
  <c r="F51" i="2"/>
  <c r="G32" i="2"/>
  <c r="E32" i="2"/>
  <c r="F32" i="2"/>
  <c r="G46" i="2"/>
  <c r="E46" i="2"/>
  <c r="F46" i="2"/>
  <c r="G45" i="2"/>
  <c r="E45" i="2"/>
  <c r="F45" i="2"/>
  <c r="G44" i="2"/>
  <c r="E44" i="2"/>
  <c r="F44" i="2"/>
  <c r="G43" i="2"/>
  <c r="E43" i="2"/>
  <c r="F43" i="2"/>
  <c r="G42" i="2"/>
  <c r="E42" i="2"/>
  <c r="F42" i="2"/>
  <c r="G41" i="2"/>
  <c r="E41" i="2"/>
  <c r="F41" i="2"/>
  <c r="G40" i="2"/>
  <c r="E40" i="2"/>
  <c r="F40" i="2"/>
  <c r="G39" i="2"/>
  <c r="E39" i="2"/>
  <c r="F39" i="2"/>
  <c r="G38" i="2"/>
  <c r="E38" i="2"/>
  <c r="F38" i="2"/>
  <c r="G37" i="2"/>
  <c r="E37" i="2"/>
  <c r="F37" i="2"/>
  <c r="G36" i="2"/>
  <c r="E36" i="2"/>
  <c r="F36" i="2"/>
  <c r="G35" i="2"/>
  <c r="E35" i="2"/>
  <c r="F35" i="2"/>
  <c r="G34" i="2"/>
  <c r="E34" i="2"/>
  <c r="F34" i="2"/>
  <c r="G33" i="2"/>
  <c r="E33" i="2"/>
  <c r="F33" i="2"/>
  <c r="E31" i="2"/>
  <c r="F31" i="2"/>
  <c r="F84" i="1"/>
  <c r="G84" i="1"/>
  <c r="F85" i="1"/>
  <c r="G85" i="1"/>
  <c r="F83" i="1"/>
  <c r="G83" i="1"/>
  <c r="F86" i="1"/>
  <c r="G86" i="1"/>
  <c r="E79" i="1"/>
  <c r="F79" i="1"/>
  <c r="E78" i="1"/>
  <c r="F78" i="1"/>
  <c r="E77" i="1"/>
  <c r="F77" i="1"/>
  <c r="E76" i="1"/>
  <c r="F76" i="1"/>
  <c r="E75" i="1"/>
  <c r="F75" i="1"/>
  <c r="E74" i="1"/>
  <c r="F74" i="1"/>
  <c r="E73" i="1"/>
  <c r="F73" i="1"/>
  <c r="E72" i="1"/>
  <c r="F72" i="1"/>
  <c r="E71" i="1"/>
  <c r="F71" i="1"/>
  <c r="E67" i="1"/>
  <c r="F67" i="1"/>
  <c r="E66" i="1"/>
  <c r="F66" i="1"/>
  <c r="E65" i="1"/>
  <c r="F65" i="1"/>
  <c r="E64" i="1"/>
  <c r="F64" i="1"/>
  <c r="G58" i="1"/>
  <c r="E58" i="1"/>
  <c r="F58" i="1"/>
  <c r="G56" i="1"/>
  <c r="E56" i="1"/>
  <c r="F56" i="1"/>
  <c r="G53" i="1"/>
  <c r="E53" i="1"/>
  <c r="F53" i="1"/>
  <c r="G54" i="1"/>
  <c r="E54" i="1"/>
  <c r="F54" i="1"/>
  <c r="G55" i="1"/>
  <c r="E55" i="1"/>
  <c r="F55" i="1"/>
  <c r="G57" i="1"/>
  <c r="E57" i="1"/>
  <c r="F57" i="1"/>
  <c r="G52" i="1"/>
  <c r="E52" i="1"/>
  <c r="F52" i="1"/>
  <c r="G46" i="1"/>
  <c r="E46" i="1"/>
  <c r="F46" i="1"/>
  <c r="G45" i="1"/>
  <c r="E45" i="1"/>
  <c r="F45" i="1"/>
  <c r="G44" i="1"/>
  <c r="E44" i="1"/>
  <c r="F44" i="1"/>
  <c r="G43" i="1"/>
  <c r="E43" i="1"/>
  <c r="F43" i="1"/>
  <c r="G42" i="1"/>
  <c r="E42" i="1"/>
  <c r="F42" i="1"/>
  <c r="G41" i="1"/>
  <c r="E41" i="1"/>
  <c r="F41" i="1"/>
  <c r="G40" i="1"/>
  <c r="E40" i="1"/>
  <c r="F40" i="1"/>
  <c r="G39" i="1"/>
  <c r="E39" i="1"/>
  <c r="F39" i="1"/>
  <c r="G38" i="1"/>
  <c r="E38" i="1"/>
  <c r="F38" i="1"/>
  <c r="G37" i="1"/>
  <c r="E37" i="1"/>
  <c r="F37" i="1"/>
  <c r="G36" i="1"/>
  <c r="E36" i="1"/>
  <c r="F36" i="1"/>
  <c r="G35" i="1"/>
  <c r="E35" i="1"/>
  <c r="F35" i="1"/>
  <c r="G34" i="1"/>
  <c r="E34" i="1"/>
  <c r="F34" i="1"/>
  <c r="G33" i="1"/>
  <c r="E33" i="1"/>
  <c r="F33" i="1"/>
  <c r="G32" i="1"/>
  <c r="E32" i="1"/>
  <c r="F32" i="1"/>
  <c r="E31" i="1"/>
  <c r="F31" i="1"/>
  <c r="G24" i="1"/>
  <c r="E24" i="1"/>
  <c r="F24" i="1"/>
  <c r="G23" i="1"/>
  <c r="E23" i="1"/>
  <c r="F23" i="1"/>
  <c r="G21" i="1"/>
  <c r="E21" i="1"/>
  <c r="F21" i="1"/>
  <c r="G22" i="1"/>
  <c r="E22" i="1"/>
  <c r="F22" i="1"/>
  <c r="G25" i="1"/>
  <c r="E25" i="1"/>
  <c r="F25" i="1"/>
  <c r="G20" i="1"/>
  <c r="E20" i="1"/>
  <c r="F20" i="1"/>
</calcChain>
</file>

<file path=xl/sharedStrings.xml><?xml version="1.0" encoding="utf-8"?>
<sst xmlns="http://schemas.openxmlformats.org/spreadsheetml/2006/main" count="445" uniqueCount="133">
  <si>
    <t>NO.</t>
  </si>
  <si>
    <t>DESCRIPTION</t>
  </si>
  <si>
    <t>SIZE</t>
  </si>
  <si>
    <t>EXCLUSIVE</t>
  </si>
  <si>
    <t>VAT</t>
  </si>
  <si>
    <t>INCLUSIVE</t>
  </si>
  <si>
    <t>PRICE PER SQMT</t>
  </si>
  <si>
    <t>VAT INCLUSIVE</t>
  </si>
  <si>
    <t>PRICE LIST</t>
  </si>
  <si>
    <t>FLOOR TILES</t>
  </si>
  <si>
    <t>PAVING BLOCKS (PRESS)</t>
  </si>
  <si>
    <t>RECTANGULAR (30-35MPa)</t>
  </si>
  <si>
    <t>200*100*80mm</t>
  </si>
  <si>
    <t>RECTANGULAR (40-45 Mpa)</t>
  </si>
  <si>
    <t>200*100*60mm</t>
  </si>
  <si>
    <t>RECTANGULAR  (30MPa)</t>
  </si>
  <si>
    <t>ZIGZAG (30-35MPa)</t>
  </si>
  <si>
    <t>ZIGZAG (40-45MPa)</t>
  </si>
  <si>
    <t>ZIGZAG (30 Mpa)</t>
  </si>
  <si>
    <t>H PAVER (30-35MPa)</t>
  </si>
  <si>
    <t>H PAVER (40-45MPa)</t>
  </si>
  <si>
    <t>H PAVER (30 Mpa)</t>
  </si>
  <si>
    <t>PAVING BLOCKS (VIBRATION)</t>
  </si>
  <si>
    <t>U DOT PAVER</t>
  </si>
  <si>
    <t>Z PLAIN PAVER</t>
  </si>
  <si>
    <t>TRIO</t>
  </si>
  <si>
    <t>CULTURE</t>
  </si>
  <si>
    <t>V PAVER</t>
  </si>
  <si>
    <t xml:space="preserve">KISU </t>
  </si>
  <si>
    <t>WORLDCUP (30MPa)</t>
  </si>
  <si>
    <t>N.B: ALL ABOVE PAVING BLOCKS ARE AVAILABLE IN RED AND GREY COLOR WITH AN INCREASE OF TSH 3000 PER SQMT.</t>
  </si>
  <si>
    <t xml:space="preserve">PCS PER </t>
  </si>
  <si>
    <t>SQMT</t>
  </si>
  <si>
    <t>210*100*80mm</t>
  </si>
  <si>
    <t>210*100*60mm</t>
  </si>
  <si>
    <t>200*13.3*80mm</t>
  </si>
  <si>
    <t>200*13.3*60mm</t>
  </si>
  <si>
    <t>250*13.5*60mm</t>
  </si>
  <si>
    <t>SLAB</t>
  </si>
  <si>
    <t>1100*500*30mm</t>
  </si>
  <si>
    <t>COMBO</t>
  </si>
  <si>
    <t>800*400*30mm</t>
  </si>
  <si>
    <t>50PLAIN</t>
  </si>
  <si>
    <t>MBAO</t>
  </si>
  <si>
    <t>600*300*20mm</t>
  </si>
  <si>
    <t>DRAFT</t>
  </si>
  <si>
    <t>MAYAI</t>
  </si>
  <si>
    <t>40DOT</t>
  </si>
  <si>
    <t>40PLAIN</t>
  </si>
  <si>
    <t>HALFMOON</t>
  </si>
  <si>
    <t>40MPIRA</t>
  </si>
  <si>
    <t>500*500*20mm</t>
  </si>
  <si>
    <t>400*400*20mm</t>
  </si>
  <si>
    <t>490*450*20mm</t>
  </si>
  <si>
    <t>490*460*20mm</t>
  </si>
  <si>
    <t>WORLDCUP</t>
  </si>
  <si>
    <t>8GON</t>
  </si>
  <si>
    <t>DRAFT 9</t>
  </si>
  <si>
    <t>CHUCHU</t>
  </si>
  <si>
    <t>BUIBUI</t>
  </si>
  <si>
    <t>350*350*20mm</t>
  </si>
  <si>
    <t>300*300*20mm</t>
  </si>
  <si>
    <t>250*250*20mm</t>
  </si>
  <si>
    <t>PRICE @PC</t>
  </si>
  <si>
    <t>PRICE@PC</t>
  </si>
  <si>
    <t>WALL TILES</t>
  </si>
  <si>
    <t>CLOUD</t>
  </si>
  <si>
    <t>400*200*10mm</t>
  </si>
  <si>
    <t>BANZI</t>
  </si>
  <si>
    <t>200*100*10mm</t>
  </si>
  <si>
    <t>MAHOGANY</t>
  </si>
  <si>
    <t>GAMBA SQ</t>
  </si>
  <si>
    <t>MAWINGU</t>
  </si>
  <si>
    <t>WALL GAMBA</t>
  </si>
  <si>
    <t>WALL NGAZI</t>
  </si>
  <si>
    <t>TRENCH COVERS</t>
  </si>
  <si>
    <t>MFUNIKO MDOGO</t>
  </si>
  <si>
    <t>500*300*50mm</t>
  </si>
  <si>
    <t>MFUNIKO MKUBWA</t>
  </si>
  <si>
    <t>BEVO</t>
  </si>
  <si>
    <t>600*400*70mm</t>
  </si>
  <si>
    <t>CUBSTONES</t>
  </si>
  <si>
    <t>60 SQUARE</t>
  </si>
  <si>
    <t>60 OVAL</t>
  </si>
  <si>
    <t>50 BEVO</t>
  </si>
  <si>
    <t>100 BEVO</t>
  </si>
  <si>
    <t>100 SQUARE</t>
  </si>
  <si>
    <t>100 LOCK</t>
  </si>
  <si>
    <t>PANASONIC</t>
  </si>
  <si>
    <t>50 PRESS</t>
  </si>
  <si>
    <t>80 PRESS</t>
  </si>
  <si>
    <t>500*250*100mm</t>
  </si>
  <si>
    <t>600*250*100mm</t>
  </si>
  <si>
    <t>1000*250*100mm</t>
  </si>
  <si>
    <t>1000*300*100mm</t>
  </si>
  <si>
    <t>500*350*150mm</t>
  </si>
  <si>
    <t>800*350*150mm</t>
  </si>
  <si>
    <t>BLOCKS</t>
  </si>
  <si>
    <t>SAND BLOCK</t>
  </si>
  <si>
    <t>450*230*</t>
  </si>
  <si>
    <t>450*230*150mm</t>
  </si>
  <si>
    <t>CHIPPING BLOCK</t>
  </si>
  <si>
    <t>HOLLOW BLOCK</t>
  </si>
  <si>
    <t>CULVERTS</t>
  </si>
  <si>
    <t>400R</t>
  </si>
  <si>
    <t>400N</t>
  </si>
  <si>
    <t>600R</t>
  </si>
  <si>
    <t>600N</t>
  </si>
  <si>
    <t>900R</t>
  </si>
  <si>
    <t>900N</t>
  </si>
  <si>
    <t>1000*900mm</t>
  </si>
  <si>
    <t>1000*600mm</t>
  </si>
  <si>
    <t>1000*400mm</t>
  </si>
  <si>
    <t>STUMARCOT CO LTD - KILUVYA.</t>
  </si>
  <si>
    <t>Z DOT</t>
  </si>
  <si>
    <t>50 DRAFT</t>
  </si>
  <si>
    <t>40 MAWINGU</t>
  </si>
  <si>
    <t>40 8GON</t>
  </si>
  <si>
    <t>30 8GON</t>
  </si>
  <si>
    <t>STUMARCOT CO LTD - DODOMA.</t>
  </si>
  <si>
    <t>40 COMBO</t>
  </si>
  <si>
    <t>40 BUIBUI</t>
  </si>
  <si>
    <t>40-V</t>
  </si>
  <si>
    <t>40 MAYAI</t>
  </si>
  <si>
    <t>40 SPIDER</t>
  </si>
  <si>
    <t>N.B:  -ALL ABOVE PRICES ARE FOR OFFWHITE COLOR ONLY</t>
  </si>
  <si>
    <t xml:space="preserve">            -ALL ABOVE PAVING BLOCKS ARE AVAILABLE IN RED AND GREY COLOR WITH AN INCREASE OF TSH 3000 PER SQMT.</t>
  </si>
  <si>
    <t xml:space="preserve"> </t>
  </si>
  <si>
    <t>PRICES FOR OTHER AVAILABLE COLORS  ARE: RED 31,500 GREY 31,500 AND BLACK 34,500 PER SQMT</t>
  </si>
  <si>
    <t xml:space="preserve">   -PRICES FOR OTHER COLORS ARE : RED 27,500 GREY 27,500 AND BLACK 31,500 </t>
  </si>
  <si>
    <t>NGUZO</t>
  </si>
  <si>
    <t>BICON</t>
  </si>
  <si>
    <t>NGUZO KUBWA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</si>
</sst>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41">
    <xf numFmtId="0" fontId="0" fillId="0" borderId="0" xfId="0"/>
    <xf numFmtId="0" fontId="2" fillId="0" borderId="0" xfId="0" applyFont="1"/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3" fillId="0" borderId="2" xfId="0" applyFont="1" applyBorder="1"/>
    <xf numFmtId="0" fontId="3" fillId="0" borderId="6" xfId="0" applyFont="1" applyBorder="1"/>
    <xf numFmtId="0" fontId="3" fillId="0" borderId="3" xfId="0" applyFont="1" applyBorder="1"/>
    <xf numFmtId="0" fontId="3" fillId="0" borderId="4" xfId="0" applyFont="1" applyBorder="1"/>
    <xf numFmtId="0" fontId="3" fillId="0" borderId="7" xfId="0" applyFont="1" applyBorder="1"/>
    <xf numFmtId="0" fontId="3" fillId="0" borderId="5" xfId="0" applyFont="1" applyBorder="1"/>
    <xf numFmtId="3" fontId="0" fillId="0" borderId="1" xfId="0" applyNumberFormat="1" applyBorder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3" xfId="0" applyBorder="1" applyAlignment="1">
      <alignment horizontal="center"/>
    </xf>
    <xf numFmtId="9" fontId="3" fillId="0" borderId="7" xfId="0" applyNumberFormat="1" applyFont="1" applyBorder="1" applyAlignment="1">
      <alignment horizontal="center"/>
    </xf>
    <xf numFmtId="3" fontId="0" fillId="0" borderId="6" xfId="0" applyNumberFormat="1" applyBorder="1"/>
    <xf numFmtId="0" fontId="1" fillId="0" borderId="8" xfId="0" applyFont="1" applyBorder="1" applyAlignment="1"/>
    <xf numFmtId="0" fontId="1" fillId="0" borderId="9" xfId="0" applyFont="1" applyBorder="1" applyAlignment="1"/>
    <xf numFmtId="164" fontId="0" fillId="0" borderId="0" xfId="1" applyNumberFormat="1" applyFont="1"/>
    <xf numFmtId="164" fontId="3" fillId="0" borderId="6" xfId="1" applyNumberFormat="1" applyFont="1" applyBorder="1"/>
    <xf numFmtId="164" fontId="3" fillId="0" borderId="7" xfId="1" applyNumberFormat="1" applyFont="1" applyBorder="1" applyAlignment="1">
      <alignment horizontal="center"/>
    </xf>
    <xf numFmtId="164" fontId="0" fillId="0" borderId="7" xfId="1" applyNumberFormat="1" applyFont="1" applyBorder="1"/>
    <xf numFmtId="164" fontId="0" fillId="0" borderId="1" xfId="1" applyNumberFormat="1" applyFont="1" applyBorder="1"/>
    <xf numFmtId="164" fontId="0" fillId="0" borderId="6" xfId="1" applyNumberFormat="1" applyFont="1" applyBorder="1"/>
    <xf numFmtId="164" fontId="0" fillId="0" borderId="5" xfId="1" applyNumberFormat="1" applyFont="1" applyBorder="1"/>
    <xf numFmtId="164" fontId="0" fillId="0" borderId="3" xfId="1" applyNumberFormat="1" applyFont="1" applyBorder="1"/>
    <xf numFmtId="164" fontId="0" fillId="0" borderId="1" xfId="0" applyNumberFormat="1" applyBorder="1"/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4" fillId="0" borderId="0" xfId="0" applyFont="1" applyAlignment="1">
      <alignment horizontal="left"/>
    </xf>
    <xf numFmtId="0" fontId="1" fillId="0" borderId="5" xfId="0" applyFont="1" applyBorder="1" applyAlignment="1">
      <alignment horizontal="center"/>
    </xf>
    <xf numFmtId="0" fontId="4" fillId="0" borderId="3" xfId="0" applyFont="1" applyBorder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7" Type="http://schemas.openxmlformats.org/officeDocument/2006/relationships/calcChain" Target="calcChain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0"/>
  <sheetViews>
    <sheetView workbookViewId="0">
      <selection activeCell="F104" sqref="F104"/>
    </sheetView>
  </sheetViews>
  <sheetFormatPr defaultRowHeight="15" x14ac:dyDescent="0.2"/>
  <cols>
    <col min="2" max="2" width="25.15234375" bestFit="1" customWidth="1"/>
    <col min="3" max="3" width="16.0078125" bestFit="1" customWidth="1"/>
    <col min="5" max="5" width="10.89453125" bestFit="1" customWidth="1"/>
    <col min="7" max="7" width="12.23828125" bestFit="1" customWidth="1"/>
    <col min="8" max="8" width="18.5625" bestFit="1" customWidth="1"/>
  </cols>
  <sheetData>
    <row r="1" spans="1:8" ht="21" x14ac:dyDescent="0.3">
      <c r="C1" s="1" t="s">
        <v>8</v>
      </c>
      <c r="D1" s="16"/>
    </row>
    <row r="2" spans="1:8" x14ac:dyDescent="0.2">
      <c r="B2" s="39"/>
      <c r="C2" s="39"/>
      <c r="D2" s="39"/>
      <c r="E2" s="39"/>
      <c r="F2" s="39"/>
      <c r="G2" s="39"/>
    </row>
    <row r="3" spans="1:8" ht="16.5" x14ac:dyDescent="0.25">
      <c r="A3" s="8" t="s">
        <v>0</v>
      </c>
      <c r="B3" s="9" t="s">
        <v>1</v>
      </c>
      <c r="C3" s="10" t="s">
        <v>2</v>
      </c>
      <c r="D3" s="17" t="s">
        <v>31</v>
      </c>
      <c r="E3" s="9" t="s">
        <v>63</v>
      </c>
      <c r="F3" s="9" t="s">
        <v>4</v>
      </c>
      <c r="G3" s="10" t="s">
        <v>64</v>
      </c>
      <c r="H3" s="9" t="s">
        <v>6</v>
      </c>
    </row>
    <row r="4" spans="1:8" ht="16.5" x14ac:dyDescent="0.25">
      <c r="A4" s="11"/>
      <c r="B4" s="12"/>
      <c r="C4" s="13"/>
      <c r="D4" s="18" t="s">
        <v>32</v>
      </c>
      <c r="E4" s="12" t="s">
        <v>3</v>
      </c>
      <c r="F4" s="23">
        <v>0.18</v>
      </c>
      <c r="G4" s="13" t="s">
        <v>5</v>
      </c>
      <c r="H4" s="12" t="s">
        <v>7</v>
      </c>
    </row>
    <row r="5" spans="1:8" x14ac:dyDescent="0.2">
      <c r="A5" s="36" t="s">
        <v>10</v>
      </c>
      <c r="B5" s="37"/>
      <c r="C5" s="5"/>
      <c r="D5" s="19"/>
      <c r="E5" s="5"/>
      <c r="F5" s="5"/>
      <c r="G5" s="5"/>
      <c r="H5" s="5"/>
    </row>
    <row r="6" spans="1:8" x14ac:dyDescent="0.2">
      <c r="A6" s="6">
        <v>1</v>
      </c>
      <c r="B6" s="6" t="s">
        <v>11</v>
      </c>
      <c r="C6" s="6" t="s">
        <v>12</v>
      </c>
      <c r="D6" s="7">
        <v>50</v>
      </c>
      <c r="E6" s="31">
        <f t="shared" ref="E6:E15" si="0">+G6*0.847457627118644</f>
        <v>533.89830508474574</v>
      </c>
      <c r="F6" s="31">
        <f t="shared" ref="F6:F15" si="1">+E6*0.18</f>
        <v>96.101694915254228</v>
      </c>
      <c r="G6" s="35">
        <f t="shared" ref="G6:G15" si="2">+H6/D6</f>
        <v>630</v>
      </c>
      <c r="H6" s="14">
        <v>31500</v>
      </c>
    </row>
    <row r="7" spans="1:8" x14ac:dyDescent="0.2">
      <c r="A7" s="6">
        <v>2</v>
      </c>
      <c r="B7" s="6" t="s">
        <v>13</v>
      </c>
      <c r="C7" s="6" t="s">
        <v>12</v>
      </c>
      <c r="D7" s="7">
        <v>50</v>
      </c>
      <c r="E7" s="31">
        <f t="shared" si="0"/>
        <v>593.22033898305085</v>
      </c>
      <c r="F7" s="31">
        <f t="shared" si="1"/>
        <v>106.77966101694915</v>
      </c>
      <c r="G7" s="35">
        <f t="shared" si="2"/>
        <v>700</v>
      </c>
      <c r="H7" s="14">
        <v>35000</v>
      </c>
    </row>
    <row r="8" spans="1:8" x14ac:dyDescent="0.2">
      <c r="A8" s="6">
        <v>3</v>
      </c>
      <c r="B8" s="6" t="s">
        <v>15</v>
      </c>
      <c r="C8" s="6" t="s">
        <v>14</v>
      </c>
      <c r="D8" s="7">
        <v>50</v>
      </c>
      <c r="E8" s="31">
        <f t="shared" si="0"/>
        <v>437.79661016949154</v>
      </c>
      <c r="F8" s="31">
        <f t="shared" si="1"/>
        <v>78.803389830508479</v>
      </c>
      <c r="G8" s="35">
        <f t="shared" si="2"/>
        <v>516.6</v>
      </c>
      <c r="H8" s="14">
        <v>25830</v>
      </c>
    </row>
    <row r="9" spans="1:8" x14ac:dyDescent="0.2">
      <c r="A9" s="6">
        <v>4</v>
      </c>
      <c r="B9" s="6" t="s">
        <v>16</v>
      </c>
      <c r="C9" s="6" t="s">
        <v>33</v>
      </c>
      <c r="D9" s="7">
        <v>48</v>
      </c>
      <c r="E9" s="31">
        <f t="shared" si="0"/>
        <v>556.1440677966101</v>
      </c>
      <c r="F9" s="31">
        <f t="shared" si="1"/>
        <v>100.10593220338981</v>
      </c>
      <c r="G9" s="35">
        <f t="shared" si="2"/>
        <v>656.25</v>
      </c>
      <c r="H9" s="14">
        <v>31500</v>
      </c>
    </row>
    <row r="10" spans="1:8" x14ac:dyDescent="0.2">
      <c r="A10" s="6">
        <v>5</v>
      </c>
      <c r="B10" s="6" t="s">
        <v>17</v>
      </c>
      <c r="C10" s="6" t="s">
        <v>33</v>
      </c>
      <c r="D10" s="7">
        <v>48</v>
      </c>
      <c r="E10" s="31">
        <f t="shared" si="0"/>
        <v>617.93785310734461</v>
      </c>
      <c r="F10" s="31">
        <f t="shared" si="1"/>
        <v>111.22881355932202</v>
      </c>
      <c r="G10" s="35">
        <f t="shared" si="2"/>
        <v>729.16666666666663</v>
      </c>
      <c r="H10" s="14">
        <v>35000</v>
      </c>
    </row>
    <row r="11" spans="1:8" x14ac:dyDescent="0.2">
      <c r="A11" s="6">
        <v>6</v>
      </c>
      <c r="B11" s="6" t="s">
        <v>18</v>
      </c>
      <c r="C11" s="6" t="s">
        <v>34</v>
      </c>
      <c r="D11" s="7">
        <v>48</v>
      </c>
      <c r="E11" s="31">
        <f t="shared" si="0"/>
        <v>456.03813559322032</v>
      </c>
      <c r="F11" s="31">
        <f t="shared" si="1"/>
        <v>82.086864406779654</v>
      </c>
      <c r="G11" s="35">
        <f t="shared" si="2"/>
        <v>538.125</v>
      </c>
      <c r="H11" s="14">
        <v>25830</v>
      </c>
    </row>
    <row r="12" spans="1:8" x14ac:dyDescent="0.2">
      <c r="A12" s="6">
        <v>7</v>
      </c>
      <c r="B12" s="6" t="s">
        <v>19</v>
      </c>
      <c r="C12" s="6" t="s">
        <v>35</v>
      </c>
      <c r="D12" s="7">
        <v>37</v>
      </c>
      <c r="E12" s="31">
        <f t="shared" si="0"/>
        <v>721.48419606046718</v>
      </c>
      <c r="F12" s="31">
        <f t="shared" si="1"/>
        <v>129.86715529088409</v>
      </c>
      <c r="G12" s="35">
        <f t="shared" si="2"/>
        <v>851.35135135135135</v>
      </c>
      <c r="H12" s="14">
        <v>31500</v>
      </c>
    </row>
    <row r="13" spans="1:8" x14ac:dyDescent="0.2">
      <c r="A13" s="6">
        <v>8</v>
      </c>
      <c r="B13" s="6" t="s">
        <v>20</v>
      </c>
      <c r="C13" s="6" t="s">
        <v>35</v>
      </c>
      <c r="D13" s="7">
        <v>37</v>
      </c>
      <c r="E13" s="31">
        <f t="shared" si="0"/>
        <v>801.64910673385248</v>
      </c>
      <c r="F13" s="31">
        <f t="shared" si="1"/>
        <v>144.29683921209343</v>
      </c>
      <c r="G13" s="35">
        <f t="shared" si="2"/>
        <v>945.94594594594594</v>
      </c>
      <c r="H13" s="14">
        <v>35000</v>
      </c>
    </row>
    <row r="14" spans="1:8" x14ac:dyDescent="0.2">
      <c r="A14" s="6">
        <v>9</v>
      </c>
      <c r="B14" s="6" t="s">
        <v>21</v>
      </c>
      <c r="C14" s="6" t="s">
        <v>36</v>
      </c>
      <c r="D14" s="7">
        <v>37</v>
      </c>
      <c r="E14" s="31">
        <f t="shared" si="0"/>
        <v>591.61704076958313</v>
      </c>
      <c r="F14" s="31">
        <f t="shared" si="1"/>
        <v>106.49106733852496</v>
      </c>
      <c r="G14" s="35">
        <f t="shared" si="2"/>
        <v>698.10810810810813</v>
      </c>
      <c r="H14" s="14">
        <v>25830</v>
      </c>
    </row>
    <row r="15" spans="1:8" x14ac:dyDescent="0.2">
      <c r="A15" s="6">
        <v>10</v>
      </c>
      <c r="B15" s="6" t="s">
        <v>29</v>
      </c>
      <c r="C15" s="6" t="s">
        <v>37</v>
      </c>
      <c r="D15" s="7">
        <v>33</v>
      </c>
      <c r="E15" s="31">
        <f t="shared" si="0"/>
        <v>663.32819722650231</v>
      </c>
      <c r="F15" s="31">
        <f t="shared" si="1"/>
        <v>119.39907550077041</v>
      </c>
      <c r="G15" s="35">
        <f t="shared" si="2"/>
        <v>782.72727272727275</v>
      </c>
      <c r="H15" s="14">
        <v>25830</v>
      </c>
    </row>
    <row r="16" spans="1:8" x14ac:dyDescent="0.2">
      <c r="A16" s="40" t="s">
        <v>125</v>
      </c>
      <c r="B16" s="40"/>
      <c r="C16" s="40"/>
      <c r="D16" s="40"/>
      <c r="E16" s="40"/>
      <c r="F16" s="40"/>
      <c r="G16" s="40"/>
      <c r="H16" s="40"/>
    </row>
    <row r="17" spans="1:8" x14ac:dyDescent="0.2">
      <c r="A17" s="38" t="s">
        <v>30</v>
      </c>
      <c r="B17" s="38"/>
      <c r="C17" s="38"/>
      <c r="D17" s="38"/>
      <c r="E17" s="38"/>
      <c r="F17" s="38"/>
      <c r="G17" s="38"/>
      <c r="H17" s="38"/>
    </row>
    <row r="18" spans="1:8" x14ac:dyDescent="0.2">
      <c r="D18" s="15"/>
    </row>
    <row r="19" spans="1:8" x14ac:dyDescent="0.2">
      <c r="A19" s="36" t="s">
        <v>22</v>
      </c>
      <c r="B19" s="37"/>
      <c r="C19" s="6"/>
      <c r="D19" s="7"/>
      <c r="E19" s="6"/>
      <c r="F19" s="6"/>
      <c r="G19" s="6"/>
      <c r="H19" s="6"/>
    </row>
    <row r="20" spans="1:8" x14ac:dyDescent="0.2">
      <c r="A20" s="6">
        <v>1</v>
      </c>
      <c r="B20" s="6" t="s">
        <v>23</v>
      </c>
      <c r="C20" s="6"/>
      <c r="D20" s="7">
        <v>20</v>
      </c>
      <c r="E20" s="31">
        <f t="shared" ref="E20:E25" si="3">+G20*0.847457627118644</f>
        <v>1250</v>
      </c>
      <c r="F20" s="31">
        <f t="shared" ref="F20:F25" si="4">+E20*0.18</f>
        <v>225</v>
      </c>
      <c r="G20" s="35">
        <f>+H20/D20</f>
        <v>1475</v>
      </c>
      <c r="H20" s="14">
        <v>29500</v>
      </c>
    </row>
    <row r="21" spans="1:8" x14ac:dyDescent="0.2">
      <c r="A21" s="6">
        <v>2</v>
      </c>
      <c r="B21" s="6" t="s">
        <v>24</v>
      </c>
      <c r="C21" s="6"/>
      <c r="D21" s="7">
        <v>30</v>
      </c>
      <c r="E21" s="31">
        <f t="shared" si="3"/>
        <v>833.33333333333337</v>
      </c>
      <c r="F21" s="31">
        <f t="shared" si="4"/>
        <v>150</v>
      </c>
      <c r="G21" s="35">
        <f t="shared" ref="G21:G25" si="5">+H21/D21</f>
        <v>983.33333333333337</v>
      </c>
      <c r="H21" s="14">
        <v>29500</v>
      </c>
    </row>
    <row r="22" spans="1:8" x14ac:dyDescent="0.2">
      <c r="A22" s="6">
        <v>3</v>
      </c>
      <c r="B22" s="6" t="s">
        <v>25</v>
      </c>
      <c r="C22" s="6"/>
      <c r="D22" s="7">
        <v>27</v>
      </c>
      <c r="E22" s="31">
        <f t="shared" si="3"/>
        <v>925.92592592592587</v>
      </c>
      <c r="F22" s="31">
        <f t="shared" si="4"/>
        <v>166.66666666666666</v>
      </c>
      <c r="G22" s="35">
        <f t="shared" si="5"/>
        <v>1092.5925925925926</v>
      </c>
      <c r="H22" s="14">
        <v>29500</v>
      </c>
    </row>
    <row r="23" spans="1:8" x14ac:dyDescent="0.2">
      <c r="A23" s="6">
        <v>4</v>
      </c>
      <c r="B23" s="6" t="s">
        <v>26</v>
      </c>
      <c r="C23" s="6"/>
      <c r="D23" s="7">
        <v>28</v>
      </c>
      <c r="E23" s="31">
        <f t="shared" si="3"/>
        <v>892.85714285714289</v>
      </c>
      <c r="F23" s="31">
        <f t="shared" si="4"/>
        <v>160.71428571428572</v>
      </c>
      <c r="G23" s="35">
        <f t="shared" si="5"/>
        <v>1053.5714285714287</v>
      </c>
      <c r="H23" s="14">
        <v>29500</v>
      </c>
    </row>
    <row r="24" spans="1:8" x14ac:dyDescent="0.2">
      <c r="A24" s="6">
        <v>5</v>
      </c>
      <c r="B24" s="6" t="s">
        <v>27</v>
      </c>
      <c r="C24" s="6"/>
      <c r="D24" s="7">
        <v>52</v>
      </c>
      <c r="E24" s="31">
        <f t="shared" si="3"/>
        <v>480.76923076923072</v>
      </c>
      <c r="F24" s="31">
        <f t="shared" si="4"/>
        <v>86.538461538461519</v>
      </c>
      <c r="G24" s="35">
        <f t="shared" si="5"/>
        <v>567.30769230769226</v>
      </c>
      <c r="H24" s="14">
        <v>29500</v>
      </c>
    </row>
    <row r="25" spans="1:8" x14ac:dyDescent="0.2">
      <c r="A25" s="6">
        <v>6</v>
      </c>
      <c r="B25" s="6" t="s">
        <v>28</v>
      </c>
      <c r="C25" s="6"/>
      <c r="D25" s="7">
        <v>40</v>
      </c>
      <c r="E25" s="31">
        <f t="shared" si="3"/>
        <v>625</v>
      </c>
      <c r="F25" s="31">
        <f t="shared" si="4"/>
        <v>112.5</v>
      </c>
      <c r="G25" s="35">
        <f t="shared" si="5"/>
        <v>737.5</v>
      </c>
      <c r="H25" s="14">
        <v>29500</v>
      </c>
    </row>
    <row r="26" spans="1:8" x14ac:dyDescent="0.2">
      <c r="A26" s="4">
        <v>7</v>
      </c>
      <c r="B26" s="4" t="s">
        <v>114</v>
      </c>
      <c r="C26" s="4"/>
      <c r="D26" s="20"/>
      <c r="E26" s="4"/>
      <c r="F26" s="4"/>
      <c r="G26" s="4"/>
      <c r="H26" s="4"/>
    </row>
    <row r="27" spans="1:8" x14ac:dyDescent="0.2">
      <c r="A27" s="40" t="s">
        <v>125</v>
      </c>
      <c r="B27" s="40"/>
      <c r="C27" s="40"/>
      <c r="D27" s="40"/>
      <c r="E27" s="40"/>
      <c r="F27" s="40"/>
      <c r="G27" s="40"/>
      <c r="H27" s="40"/>
    </row>
    <row r="28" spans="1:8" x14ac:dyDescent="0.2">
      <c r="B28" s="38" t="s">
        <v>128</v>
      </c>
      <c r="C28" s="38"/>
      <c r="D28" s="38"/>
      <c r="E28" s="38"/>
      <c r="F28" s="38"/>
      <c r="G28" s="38"/>
      <c r="H28" s="38"/>
    </row>
    <row r="29" spans="1:8" x14ac:dyDescent="0.2">
      <c r="A29" s="3"/>
      <c r="B29" s="3"/>
      <c r="C29" s="3"/>
      <c r="D29" s="21"/>
      <c r="E29" s="3"/>
      <c r="F29" s="3"/>
      <c r="G29" s="3"/>
      <c r="H29" s="3"/>
    </row>
    <row r="30" spans="1:8" x14ac:dyDescent="0.2">
      <c r="A30" s="36" t="s">
        <v>9</v>
      </c>
      <c r="B30" s="37"/>
      <c r="C30" s="5"/>
      <c r="D30" s="19"/>
      <c r="E30" s="5"/>
      <c r="F30" s="5"/>
      <c r="G30" s="5"/>
      <c r="H30" s="5"/>
    </row>
    <row r="31" spans="1:8" x14ac:dyDescent="0.2">
      <c r="A31" s="6">
        <v>1</v>
      </c>
      <c r="B31" s="6" t="s">
        <v>38</v>
      </c>
      <c r="C31" s="6" t="s">
        <v>39</v>
      </c>
      <c r="D31" s="7">
        <v>1</v>
      </c>
      <c r="E31" s="31">
        <f t="shared" ref="E31:E46" si="6">+G31*0.847457627118644</f>
        <v>13983.050847457627</v>
      </c>
      <c r="F31" s="31">
        <f t="shared" ref="F31:F46" si="7">+E31*0.18</f>
        <v>2516.9491525423728</v>
      </c>
      <c r="G31" s="31">
        <v>16500</v>
      </c>
      <c r="H31" s="14">
        <v>16500</v>
      </c>
    </row>
    <row r="32" spans="1:8" x14ac:dyDescent="0.2">
      <c r="A32" s="6">
        <v>2</v>
      </c>
      <c r="B32" s="6" t="s">
        <v>40</v>
      </c>
      <c r="C32" s="6" t="s">
        <v>41</v>
      </c>
      <c r="D32" s="7">
        <v>3</v>
      </c>
      <c r="E32" s="31">
        <f t="shared" si="6"/>
        <v>9180.7909604519773</v>
      </c>
      <c r="F32" s="31">
        <f t="shared" si="7"/>
        <v>1652.542372881356</v>
      </c>
      <c r="G32" s="31">
        <f>+H32/D32</f>
        <v>10833.333333333334</v>
      </c>
      <c r="H32" s="14">
        <v>32500</v>
      </c>
    </row>
    <row r="33" spans="1:8" x14ac:dyDescent="0.2">
      <c r="A33" s="6">
        <v>3</v>
      </c>
      <c r="B33" s="6" t="s">
        <v>43</v>
      </c>
      <c r="C33" s="6" t="s">
        <v>44</v>
      </c>
      <c r="D33" s="7">
        <v>6</v>
      </c>
      <c r="E33" s="31">
        <f t="shared" si="6"/>
        <v>3601.694915254237</v>
      </c>
      <c r="F33" s="31">
        <f t="shared" si="7"/>
        <v>648.30508474576266</v>
      </c>
      <c r="G33" s="31">
        <f t="shared" ref="G33:G46" si="8">+H33/D33</f>
        <v>4250</v>
      </c>
      <c r="H33" s="14">
        <v>25500</v>
      </c>
    </row>
    <row r="34" spans="1:8" x14ac:dyDescent="0.2">
      <c r="A34" s="6">
        <v>4</v>
      </c>
      <c r="B34" s="6" t="s">
        <v>42</v>
      </c>
      <c r="C34" s="6" t="s">
        <v>51</v>
      </c>
      <c r="D34" s="7">
        <v>4</v>
      </c>
      <c r="E34" s="31">
        <f t="shared" si="6"/>
        <v>5402.5423728813557</v>
      </c>
      <c r="F34" s="31">
        <f t="shared" si="7"/>
        <v>972.45762711864404</v>
      </c>
      <c r="G34" s="31">
        <f t="shared" si="8"/>
        <v>6375</v>
      </c>
      <c r="H34" s="14">
        <v>25500</v>
      </c>
    </row>
    <row r="35" spans="1:8" x14ac:dyDescent="0.2">
      <c r="A35" s="6">
        <v>5</v>
      </c>
      <c r="B35" s="6" t="s">
        <v>115</v>
      </c>
      <c r="C35" s="6" t="s">
        <v>53</v>
      </c>
      <c r="D35" s="7">
        <v>4</v>
      </c>
      <c r="E35" s="31">
        <f t="shared" si="6"/>
        <v>5402.5423728813557</v>
      </c>
      <c r="F35" s="31">
        <f t="shared" si="7"/>
        <v>972.45762711864404</v>
      </c>
      <c r="G35" s="31">
        <f t="shared" si="8"/>
        <v>6375</v>
      </c>
      <c r="H35" s="14">
        <v>25500</v>
      </c>
    </row>
    <row r="36" spans="1:8" x14ac:dyDescent="0.2">
      <c r="A36" s="6">
        <v>6</v>
      </c>
      <c r="B36" s="6" t="s">
        <v>46</v>
      </c>
      <c r="C36" s="6" t="s">
        <v>54</v>
      </c>
      <c r="D36" s="7">
        <v>4</v>
      </c>
      <c r="E36" s="31">
        <f t="shared" si="6"/>
        <v>5402.5423728813557</v>
      </c>
      <c r="F36" s="31">
        <f t="shared" si="7"/>
        <v>972.45762711864404</v>
      </c>
      <c r="G36" s="31">
        <f t="shared" si="8"/>
        <v>6375</v>
      </c>
      <c r="H36" s="14">
        <v>25500</v>
      </c>
    </row>
    <row r="37" spans="1:8" x14ac:dyDescent="0.2">
      <c r="A37" s="6">
        <v>7</v>
      </c>
      <c r="B37" s="6" t="s">
        <v>47</v>
      </c>
      <c r="C37" s="6" t="s">
        <v>52</v>
      </c>
      <c r="D37" s="7">
        <v>6</v>
      </c>
      <c r="E37" s="31">
        <f t="shared" si="6"/>
        <v>3601.694915254237</v>
      </c>
      <c r="F37" s="31">
        <f t="shared" si="7"/>
        <v>648.30508474576266</v>
      </c>
      <c r="G37" s="31">
        <f t="shared" si="8"/>
        <v>4250</v>
      </c>
      <c r="H37" s="14">
        <v>25500</v>
      </c>
    </row>
    <row r="38" spans="1:8" x14ac:dyDescent="0.2">
      <c r="A38" s="6">
        <v>8</v>
      </c>
      <c r="B38" s="6" t="s">
        <v>48</v>
      </c>
      <c r="C38" s="6" t="s">
        <v>52</v>
      </c>
      <c r="D38" s="7">
        <v>6</v>
      </c>
      <c r="E38" s="31">
        <f t="shared" si="6"/>
        <v>3601.694915254237</v>
      </c>
      <c r="F38" s="31">
        <f t="shared" si="7"/>
        <v>648.30508474576266</v>
      </c>
      <c r="G38" s="31">
        <f t="shared" si="8"/>
        <v>4250</v>
      </c>
      <c r="H38" s="14">
        <v>25500</v>
      </c>
    </row>
    <row r="39" spans="1:8" x14ac:dyDescent="0.2">
      <c r="A39" s="6">
        <v>9</v>
      </c>
      <c r="B39" s="6" t="s">
        <v>116</v>
      </c>
      <c r="C39" s="6" t="s">
        <v>52</v>
      </c>
      <c r="D39" s="7">
        <v>6</v>
      </c>
      <c r="E39" s="31">
        <f t="shared" si="6"/>
        <v>3601.694915254237</v>
      </c>
      <c r="F39" s="31">
        <f t="shared" si="7"/>
        <v>648.30508474576266</v>
      </c>
      <c r="G39" s="31">
        <f t="shared" si="8"/>
        <v>4250</v>
      </c>
      <c r="H39" s="14">
        <v>25500</v>
      </c>
    </row>
    <row r="40" spans="1:8" x14ac:dyDescent="0.2">
      <c r="A40" s="6">
        <v>10</v>
      </c>
      <c r="B40" s="6" t="s">
        <v>117</v>
      </c>
      <c r="C40" s="6" t="s">
        <v>52</v>
      </c>
      <c r="D40" s="7">
        <v>6</v>
      </c>
      <c r="E40" s="31">
        <f t="shared" si="6"/>
        <v>3601.694915254237</v>
      </c>
      <c r="F40" s="31">
        <f t="shared" si="7"/>
        <v>648.30508474576266</v>
      </c>
      <c r="G40" s="31">
        <f t="shared" si="8"/>
        <v>4250</v>
      </c>
      <c r="H40" s="14">
        <v>25500</v>
      </c>
    </row>
    <row r="41" spans="1:8" x14ac:dyDescent="0.2">
      <c r="A41" s="6">
        <v>11</v>
      </c>
      <c r="B41" s="6" t="s">
        <v>55</v>
      </c>
      <c r="C41" s="6" t="s">
        <v>60</v>
      </c>
      <c r="D41" s="7">
        <v>8</v>
      </c>
      <c r="E41" s="31">
        <f t="shared" si="6"/>
        <v>2701.2711864406779</v>
      </c>
      <c r="F41" s="31">
        <f t="shared" si="7"/>
        <v>486.22881355932202</v>
      </c>
      <c r="G41" s="31">
        <f t="shared" si="8"/>
        <v>3187.5</v>
      </c>
      <c r="H41" s="14">
        <v>25500</v>
      </c>
    </row>
    <row r="42" spans="1:8" x14ac:dyDescent="0.2">
      <c r="A42" s="6">
        <v>12</v>
      </c>
      <c r="B42" s="6" t="s">
        <v>118</v>
      </c>
      <c r="C42" s="6" t="s">
        <v>61</v>
      </c>
      <c r="D42" s="7">
        <v>11</v>
      </c>
      <c r="E42" s="31">
        <f t="shared" si="6"/>
        <v>1964.5608628659475</v>
      </c>
      <c r="F42" s="31">
        <f t="shared" si="7"/>
        <v>353.6209553158705</v>
      </c>
      <c r="G42" s="31">
        <f t="shared" si="8"/>
        <v>2318.181818181818</v>
      </c>
      <c r="H42" s="14">
        <v>25500</v>
      </c>
    </row>
    <row r="43" spans="1:8" x14ac:dyDescent="0.2">
      <c r="A43" s="6">
        <v>13</v>
      </c>
      <c r="B43" s="6" t="s">
        <v>45</v>
      </c>
      <c r="C43" s="6" t="s">
        <v>61</v>
      </c>
      <c r="D43" s="7">
        <v>11</v>
      </c>
      <c r="E43" s="31">
        <f t="shared" si="6"/>
        <v>1964.5608628659475</v>
      </c>
      <c r="F43" s="31">
        <f t="shared" si="7"/>
        <v>353.6209553158705</v>
      </c>
      <c r="G43" s="31">
        <f t="shared" si="8"/>
        <v>2318.181818181818</v>
      </c>
      <c r="H43" s="14">
        <v>25500</v>
      </c>
    </row>
    <row r="44" spans="1:8" x14ac:dyDescent="0.2">
      <c r="A44" s="6">
        <v>14</v>
      </c>
      <c r="B44" s="6" t="s">
        <v>57</v>
      </c>
      <c r="C44" s="6" t="s">
        <v>61</v>
      </c>
      <c r="D44" s="7">
        <v>11</v>
      </c>
      <c r="E44" s="31">
        <f t="shared" si="6"/>
        <v>1964.5608628659475</v>
      </c>
      <c r="F44" s="31">
        <f t="shared" si="7"/>
        <v>353.6209553158705</v>
      </c>
      <c r="G44" s="31">
        <f t="shared" si="8"/>
        <v>2318.181818181818</v>
      </c>
      <c r="H44" s="14">
        <v>25500</v>
      </c>
    </row>
    <row r="45" spans="1:8" x14ac:dyDescent="0.2">
      <c r="A45" s="6">
        <v>15</v>
      </c>
      <c r="B45" s="6" t="s">
        <v>58</v>
      </c>
      <c r="C45" s="6" t="s">
        <v>62</v>
      </c>
      <c r="D45" s="7">
        <v>16</v>
      </c>
      <c r="E45" s="31">
        <f t="shared" si="6"/>
        <v>1350.6355932203389</v>
      </c>
      <c r="F45" s="31">
        <f t="shared" si="7"/>
        <v>243.11440677966101</v>
      </c>
      <c r="G45" s="31">
        <f t="shared" si="8"/>
        <v>1593.75</v>
      </c>
      <c r="H45" s="14">
        <v>25500</v>
      </c>
    </row>
    <row r="46" spans="1:8" x14ac:dyDescent="0.2">
      <c r="A46" s="4">
        <v>16</v>
      </c>
      <c r="B46" s="4" t="s">
        <v>59</v>
      </c>
      <c r="C46" s="4" t="s">
        <v>62</v>
      </c>
      <c r="D46" s="20">
        <v>16</v>
      </c>
      <c r="E46" s="31">
        <f t="shared" si="6"/>
        <v>1350.6355932203389</v>
      </c>
      <c r="F46" s="31">
        <f t="shared" si="7"/>
        <v>243.11440677966101</v>
      </c>
      <c r="G46" s="31">
        <f t="shared" si="8"/>
        <v>1593.75</v>
      </c>
      <c r="H46" s="14">
        <v>25500</v>
      </c>
    </row>
    <row r="47" spans="1:8" x14ac:dyDescent="0.2">
      <c r="A47" s="2"/>
      <c r="B47" s="40" t="s">
        <v>125</v>
      </c>
      <c r="C47" s="40"/>
      <c r="D47" s="40"/>
      <c r="E47" s="40"/>
      <c r="F47" s="40"/>
      <c r="G47" s="40"/>
      <c r="H47" s="40"/>
    </row>
    <row r="48" spans="1:8" x14ac:dyDescent="0.2">
      <c r="B48" s="38" t="s">
        <v>129</v>
      </c>
      <c r="C48" s="38"/>
      <c r="D48" s="38"/>
      <c r="E48" s="38"/>
      <c r="F48" s="38"/>
      <c r="G48" s="38"/>
      <c r="H48" s="38"/>
    </row>
    <row r="49" spans="1:8" x14ac:dyDescent="0.2">
      <c r="A49" s="3"/>
      <c r="B49" s="3"/>
      <c r="C49" s="3"/>
      <c r="D49" s="21"/>
      <c r="E49" s="3"/>
      <c r="F49" s="3"/>
      <c r="G49" s="3"/>
      <c r="H49" s="3"/>
    </row>
    <row r="50" spans="1:8" x14ac:dyDescent="0.2">
      <c r="A50" s="36" t="s">
        <v>65</v>
      </c>
      <c r="B50" s="37"/>
      <c r="C50" s="5"/>
      <c r="D50" s="19"/>
      <c r="E50" s="5"/>
      <c r="F50" s="5"/>
      <c r="G50" s="5"/>
      <c r="H50" s="5"/>
    </row>
    <row r="51" spans="1:8" x14ac:dyDescent="0.2">
      <c r="A51" s="6">
        <v>1</v>
      </c>
      <c r="B51" s="6" t="s">
        <v>66</v>
      </c>
      <c r="C51" s="6" t="s">
        <v>67</v>
      </c>
      <c r="D51" s="7">
        <v>12</v>
      </c>
      <c r="E51" s="31">
        <f t="shared" ref="E51:E57" si="9">+G51*0.847457627118644</f>
        <v>1800.8474576271185</v>
      </c>
      <c r="F51" s="31">
        <f t="shared" ref="F51:F57" si="10">+E51*0.18</f>
        <v>324.15254237288133</v>
      </c>
      <c r="G51" s="31">
        <f>+H51/D51</f>
        <v>2125</v>
      </c>
      <c r="H51" s="14">
        <v>25500</v>
      </c>
    </row>
    <row r="52" spans="1:8" x14ac:dyDescent="0.2">
      <c r="A52" s="6">
        <v>2</v>
      </c>
      <c r="B52" s="6" t="s">
        <v>68</v>
      </c>
      <c r="C52" s="6" t="s">
        <v>69</v>
      </c>
      <c r="D52" s="7">
        <v>22</v>
      </c>
      <c r="E52" s="31">
        <f t="shared" si="9"/>
        <v>982.28043143297373</v>
      </c>
      <c r="F52" s="31">
        <f t="shared" si="10"/>
        <v>176.81047765793525</v>
      </c>
      <c r="G52" s="31">
        <f t="shared" ref="G52:G57" si="11">+H52/D52</f>
        <v>1159.090909090909</v>
      </c>
      <c r="H52" s="14">
        <v>25500</v>
      </c>
    </row>
    <row r="53" spans="1:8" x14ac:dyDescent="0.2">
      <c r="A53" s="6">
        <v>3</v>
      </c>
      <c r="B53" s="6" t="s">
        <v>70</v>
      </c>
      <c r="C53" s="6" t="s">
        <v>67</v>
      </c>
      <c r="D53" s="7">
        <v>12</v>
      </c>
      <c r="E53" s="31">
        <f t="shared" si="9"/>
        <v>1800.8474576271185</v>
      </c>
      <c r="F53" s="31">
        <f t="shared" si="10"/>
        <v>324.15254237288133</v>
      </c>
      <c r="G53" s="31">
        <f t="shared" si="11"/>
        <v>2125</v>
      </c>
      <c r="H53" s="14">
        <v>25500</v>
      </c>
    </row>
    <row r="54" spans="1:8" x14ac:dyDescent="0.2">
      <c r="A54" s="6">
        <v>4</v>
      </c>
      <c r="B54" s="6" t="s">
        <v>71</v>
      </c>
      <c r="C54" s="6" t="s">
        <v>69</v>
      </c>
      <c r="D54" s="7">
        <v>22</v>
      </c>
      <c r="E54" s="31">
        <f t="shared" si="9"/>
        <v>982.28043143297373</v>
      </c>
      <c r="F54" s="31">
        <f t="shared" si="10"/>
        <v>176.81047765793525</v>
      </c>
      <c r="G54" s="31">
        <f t="shared" si="11"/>
        <v>1159.090909090909</v>
      </c>
      <c r="H54" s="14">
        <v>25500</v>
      </c>
    </row>
    <row r="55" spans="1:8" x14ac:dyDescent="0.2">
      <c r="A55" s="6">
        <v>5</v>
      </c>
      <c r="B55" s="6" t="s">
        <v>72</v>
      </c>
      <c r="C55" s="6" t="s">
        <v>67</v>
      </c>
      <c r="D55" s="7">
        <v>12</v>
      </c>
      <c r="E55" s="31">
        <f t="shared" si="9"/>
        <v>1800.8474576271185</v>
      </c>
      <c r="F55" s="31">
        <f t="shared" si="10"/>
        <v>324.15254237288133</v>
      </c>
      <c r="G55" s="31">
        <f t="shared" si="11"/>
        <v>2125</v>
      </c>
      <c r="H55" s="14">
        <v>25500</v>
      </c>
    </row>
    <row r="56" spans="1:8" x14ac:dyDescent="0.2">
      <c r="A56" s="6">
        <v>6</v>
      </c>
      <c r="B56" s="6" t="s">
        <v>73</v>
      </c>
      <c r="C56" s="6"/>
      <c r="D56" s="7">
        <v>21</v>
      </c>
      <c r="E56" s="31">
        <f t="shared" si="9"/>
        <v>1029.0556900726392</v>
      </c>
      <c r="F56" s="31">
        <f t="shared" si="10"/>
        <v>185.23002421307504</v>
      </c>
      <c r="G56" s="31">
        <f t="shared" si="11"/>
        <v>1214.2857142857142</v>
      </c>
      <c r="H56" s="14">
        <v>25500</v>
      </c>
    </row>
    <row r="57" spans="1:8" x14ac:dyDescent="0.2">
      <c r="A57" s="6">
        <v>7</v>
      </c>
      <c r="B57" s="6" t="s">
        <v>74</v>
      </c>
      <c r="C57" s="6"/>
      <c r="D57" s="7">
        <v>21</v>
      </c>
      <c r="E57" s="31">
        <f t="shared" si="9"/>
        <v>1029.0556900726392</v>
      </c>
      <c r="F57" s="31">
        <f t="shared" si="10"/>
        <v>185.23002421307504</v>
      </c>
      <c r="G57" s="31">
        <f t="shared" si="11"/>
        <v>1214.2857142857142</v>
      </c>
      <c r="H57" s="14">
        <v>25500</v>
      </c>
    </row>
    <row r="58" spans="1:8" x14ac:dyDescent="0.2">
      <c r="A58" s="4"/>
      <c r="B58" s="4"/>
      <c r="C58" s="4"/>
      <c r="D58" s="20"/>
      <c r="E58" s="4"/>
      <c r="F58" s="4"/>
      <c r="G58" s="4"/>
      <c r="H58" s="4"/>
    </row>
    <row r="59" spans="1:8" x14ac:dyDescent="0.2">
      <c r="A59" s="2"/>
      <c r="B59" s="40" t="s">
        <v>125</v>
      </c>
      <c r="C59" s="40"/>
      <c r="D59" s="40"/>
      <c r="E59" s="40"/>
      <c r="F59" s="40"/>
      <c r="G59" s="40"/>
      <c r="H59" s="40"/>
    </row>
    <row r="60" spans="1:8" x14ac:dyDescent="0.2">
      <c r="B60" s="38" t="s">
        <v>129</v>
      </c>
      <c r="C60" s="38"/>
      <c r="D60" s="38"/>
      <c r="E60" s="38"/>
      <c r="F60" s="38"/>
      <c r="G60" s="38"/>
      <c r="H60" s="38"/>
    </row>
    <row r="61" spans="1:8" x14ac:dyDescent="0.2">
      <c r="A61" s="3"/>
      <c r="B61" s="3"/>
      <c r="C61" s="3"/>
      <c r="D61" s="21"/>
      <c r="E61" s="3"/>
      <c r="F61" s="3"/>
      <c r="G61" s="3"/>
      <c r="H61" s="3"/>
    </row>
    <row r="62" spans="1:8" x14ac:dyDescent="0.2">
      <c r="A62" s="36" t="s">
        <v>75</v>
      </c>
      <c r="B62" s="37"/>
      <c r="C62" s="5"/>
      <c r="D62" s="19"/>
      <c r="E62" s="5"/>
      <c r="F62" s="5"/>
      <c r="G62" s="5"/>
      <c r="H62" s="5"/>
    </row>
    <row r="63" spans="1:8" x14ac:dyDescent="0.2">
      <c r="A63" s="6">
        <v>1</v>
      </c>
      <c r="B63" s="6" t="s">
        <v>76</v>
      </c>
      <c r="C63" s="6" t="s">
        <v>77</v>
      </c>
      <c r="D63" s="7">
        <v>1</v>
      </c>
      <c r="E63" s="31">
        <f t="shared" ref="E63:E66" si="12">+G63*0.847457627118644</f>
        <v>9745.7627118644068</v>
      </c>
      <c r="F63" s="31">
        <f t="shared" ref="F63:F66" si="13">+E63*0.18</f>
        <v>1754.2372881355932</v>
      </c>
      <c r="G63" s="31">
        <v>11500</v>
      </c>
      <c r="H63" s="14"/>
    </row>
    <row r="64" spans="1:8" x14ac:dyDescent="0.2">
      <c r="A64" s="6">
        <v>2</v>
      </c>
      <c r="B64" s="6" t="s">
        <v>76</v>
      </c>
      <c r="C64" s="6" t="s">
        <v>77</v>
      </c>
      <c r="D64" s="7">
        <v>1</v>
      </c>
      <c r="E64" s="31">
        <f t="shared" si="12"/>
        <v>13983.050847457627</v>
      </c>
      <c r="F64" s="31">
        <f t="shared" si="13"/>
        <v>2516.9491525423728</v>
      </c>
      <c r="G64" s="31">
        <v>16500</v>
      </c>
      <c r="H64" s="14"/>
    </row>
    <row r="65" spans="1:8" x14ac:dyDescent="0.2">
      <c r="A65" s="6">
        <v>3</v>
      </c>
      <c r="B65" s="6" t="s">
        <v>78</v>
      </c>
      <c r="C65" s="6" t="s">
        <v>80</v>
      </c>
      <c r="D65" s="7">
        <v>1</v>
      </c>
      <c r="E65" s="31">
        <f t="shared" si="12"/>
        <v>13983.050847457627</v>
      </c>
      <c r="F65" s="31">
        <f t="shared" si="13"/>
        <v>2516.9491525423728</v>
      </c>
      <c r="G65" s="31">
        <v>16500</v>
      </c>
      <c r="H65" s="14"/>
    </row>
    <row r="66" spans="1:8" x14ac:dyDescent="0.2">
      <c r="A66" s="6">
        <v>4</v>
      </c>
      <c r="B66" s="6" t="s">
        <v>79</v>
      </c>
      <c r="C66" s="6" t="s">
        <v>80</v>
      </c>
      <c r="D66" s="7">
        <v>1</v>
      </c>
      <c r="E66" s="31">
        <f t="shared" si="12"/>
        <v>13983.050847457627</v>
      </c>
      <c r="F66" s="31">
        <f t="shared" si="13"/>
        <v>2516.9491525423728</v>
      </c>
      <c r="G66" s="31">
        <v>16500</v>
      </c>
      <c r="H66" s="14"/>
    </row>
    <row r="67" spans="1:8" x14ac:dyDescent="0.2">
      <c r="A67" s="4"/>
      <c r="B67" s="4"/>
      <c r="C67" s="4"/>
      <c r="D67" s="20"/>
      <c r="E67" s="4"/>
      <c r="F67" s="4"/>
      <c r="G67" s="4"/>
      <c r="H67" s="4"/>
    </row>
    <row r="68" spans="1:8" x14ac:dyDescent="0.2">
      <c r="A68" s="2"/>
      <c r="B68" s="2"/>
      <c r="C68" s="2"/>
      <c r="D68" s="22"/>
      <c r="E68" s="2"/>
      <c r="F68" s="2"/>
      <c r="G68" s="2"/>
      <c r="H68" s="2"/>
    </row>
    <row r="69" spans="1:8" x14ac:dyDescent="0.2">
      <c r="A69" s="36" t="s">
        <v>81</v>
      </c>
      <c r="B69" s="37"/>
      <c r="C69" s="6"/>
      <c r="D69" s="7"/>
      <c r="E69" s="6"/>
      <c r="F69" s="6"/>
      <c r="G69" s="6"/>
      <c r="H69" s="6"/>
    </row>
    <row r="70" spans="1:8" x14ac:dyDescent="0.2">
      <c r="A70" s="6">
        <v>1</v>
      </c>
      <c r="B70" s="6" t="s">
        <v>84</v>
      </c>
      <c r="C70" s="6" t="s">
        <v>91</v>
      </c>
      <c r="D70" s="7">
        <v>1</v>
      </c>
      <c r="E70" s="31">
        <f t="shared" ref="E70:E78" si="14">+G70*0.847457627118644</f>
        <v>9745.7627118644068</v>
      </c>
      <c r="F70" s="31">
        <f t="shared" ref="F70:F78" si="15">+E70*0.18</f>
        <v>1754.2372881355932</v>
      </c>
      <c r="G70" s="31">
        <v>11500</v>
      </c>
      <c r="H70" s="14"/>
    </row>
    <row r="71" spans="1:8" x14ac:dyDescent="0.2">
      <c r="A71" s="6">
        <v>2</v>
      </c>
      <c r="B71" s="6" t="s">
        <v>82</v>
      </c>
      <c r="C71" s="6" t="s">
        <v>92</v>
      </c>
      <c r="D71" s="7">
        <v>1</v>
      </c>
      <c r="E71" s="31">
        <f t="shared" si="14"/>
        <v>11440.677966101694</v>
      </c>
      <c r="F71" s="31">
        <f t="shared" si="15"/>
        <v>2059.3220338983047</v>
      </c>
      <c r="G71" s="31">
        <v>13500</v>
      </c>
      <c r="H71" s="14"/>
    </row>
    <row r="72" spans="1:8" x14ac:dyDescent="0.2">
      <c r="A72" s="6">
        <v>3</v>
      </c>
      <c r="B72" s="6" t="s">
        <v>83</v>
      </c>
      <c r="C72" s="6" t="s">
        <v>92</v>
      </c>
      <c r="D72" s="7">
        <v>1</v>
      </c>
      <c r="E72" s="31">
        <f t="shared" si="14"/>
        <v>11440.677966101694</v>
      </c>
      <c r="F72" s="31">
        <f t="shared" si="15"/>
        <v>2059.3220338983047</v>
      </c>
      <c r="G72" s="31">
        <v>13500</v>
      </c>
      <c r="H72" s="14"/>
    </row>
    <row r="73" spans="1:8" x14ac:dyDescent="0.2">
      <c r="A73" s="6">
        <v>4</v>
      </c>
      <c r="B73" s="6" t="s">
        <v>85</v>
      </c>
      <c r="C73" s="6" t="s">
        <v>93</v>
      </c>
      <c r="D73" s="7">
        <v>1</v>
      </c>
      <c r="E73" s="31">
        <f t="shared" si="14"/>
        <v>14830.508474576271</v>
      </c>
      <c r="F73" s="31">
        <f t="shared" si="15"/>
        <v>2669.4915254237285</v>
      </c>
      <c r="G73" s="31">
        <v>17500</v>
      </c>
      <c r="H73" s="14"/>
    </row>
    <row r="74" spans="1:8" x14ac:dyDescent="0.2">
      <c r="A74" s="6">
        <v>5</v>
      </c>
      <c r="B74" s="6" t="s">
        <v>86</v>
      </c>
      <c r="C74" s="6" t="s">
        <v>93</v>
      </c>
      <c r="D74" s="7">
        <v>1</v>
      </c>
      <c r="E74" s="31">
        <f t="shared" si="14"/>
        <v>14830.508474576271</v>
      </c>
      <c r="F74" s="31">
        <f t="shared" si="15"/>
        <v>2669.4915254237285</v>
      </c>
      <c r="G74" s="31">
        <v>17500</v>
      </c>
      <c r="H74" s="14"/>
    </row>
    <row r="75" spans="1:8" x14ac:dyDescent="0.2">
      <c r="A75" s="6">
        <v>6</v>
      </c>
      <c r="B75" s="6" t="s">
        <v>87</v>
      </c>
      <c r="C75" s="6" t="s">
        <v>93</v>
      </c>
      <c r="D75" s="7">
        <v>1</v>
      </c>
      <c r="E75" s="31">
        <f t="shared" si="14"/>
        <v>14830.508474576271</v>
      </c>
      <c r="F75" s="31">
        <f t="shared" si="15"/>
        <v>2669.4915254237285</v>
      </c>
      <c r="G75" s="31">
        <v>17500</v>
      </c>
      <c r="H75" s="14"/>
    </row>
    <row r="76" spans="1:8" x14ac:dyDescent="0.2">
      <c r="A76" s="6">
        <v>7</v>
      </c>
      <c r="B76" s="6" t="s">
        <v>88</v>
      </c>
      <c r="C76" s="6" t="s">
        <v>94</v>
      </c>
      <c r="D76" s="7">
        <v>1</v>
      </c>
      <c r="E76" s="31">
        <f t="shared" si="14"/>
        <v>15677.966101694914</v>
      </c>
      <c r="F76" s="31">
        <f t="shared" si="15"/>
        <v>2822.0338983050842</v>
      </c>
      <c r="G76" s="31">
        <v>18500</v>
      </c>
      <c r="H76" s="14"/>
    </row>
    <row r="77" spans="1:8" x14ac:dyDescent="0.2">
      <c r="A77" s="6">
        <v>8</v>
      </c>
      <c r="B77" s="6" t="s">
        <v>89</v>
      </c>
      <c r="C77" s="6" t="s">
        <v>95</v>
      </c>
      <c r="D77" s="7">
        <v>1</v>
      </c>
      <c r="E77" s="31">
        <f t="shared" si="14"/>
        <v>11440.677966101694</v>
      </c>
      <c r="F77" s="31">
        <f t="shared" si="15"/>
        <v>2059.3220338983047</v>
      </c>
      <c r="G77" s="31">
        <v>13500</v>
      </c>
      <c r="H77" s="14"/>
    </row>
    <row r="78" spans="1:8" x14ac:dyDescent="0.2">
      <c r="A78" s="6">
        <v>9</v>
      </c>
      <c r="B78" s="6" t="s">
        <v>90</v>
      </c>
      <c r="C78" s="6" t="s">
        <v>96</v>
      </c>
      <c r="D78" s="7">
        <v>1</v>
      </c>
      <c r="E78" s="31">
        <f t="shared" si="14"/>
        <v>14830.508474576271</v>
      </c>
      <c r="F78" s="31">
        <f t="shared" si="15"/>
        <v>2669.4915254237285</v>
      </c>
      <c r="G78" s="31">
        <v>17500</v>
      </c>
      <c r="H78" s="14"/>
    </row>
    <row r="79" spans="1:8" x14ac:dyDescent="0.2">
      <c r="A79" s="4"/>
      <c r="B79" s="4"/>
      <c r="C79" s="4"/>
      <c r="D79" s="20"/>
      <c r="E79" s="4"/>
      <c r="F79" s="4"/>
      <c r="G79" s="4"/>
      <c r="H79" s="4"/>
    </row>
    <row r="80" spans="1:8" x14ac:dyDescent="0.2">
      <c r="A80" s="2"/>
      <c r="B80" s="2"/>
      <c r="C80" s="2"/>
      <c r="D80" s="22"/>
      <c r="E80" s="2"/>
      <c r="F80" s="2"/>
      <c r="G80" s="2"/>
      <c r="H80" s="2"/>
    </row>
    <row r="81" spans="1:8" x14ac:dyDescent="0.2">
      <c r="A81" s="36" t="s">
        <v>97</v>
      </c>
      <c r="B81" s="37"/>
      <c r="C81" s="6"/>
      <c r="D81" s="7"/>
      <c r="E81" s="6"/>
      <c r="F81" s="6"/>
      <c r="G81" s="6"/>
      <c r="H81" s="6"/>
    </row>
    <row r="82" spans="1:8" x14ac:dyDescent="0.2">
      <c r="A82" s="6">
        <v>1</v>
      </c>
      <c r="B82" s="6" t="s">
        <v>98</v>
      </c>
      <c r="C82" s="6" t="s">
        <v>99</v>
      </c>
      <c r="D82" s="7">
        <v>1</v>
      </c>
      <c r="E82" s="6">
        <v>1300</v>
      </c>
      <c r="F82" s="31">
        <f t="shared" ref="F82:F85" si="16">+E82*0.18</f>
        <v>234</v>
      </c>
      <c r="G82" s="31">
        <f>SUM(E82:F82)</f>
        <v>1534</v>
      </c>
      <c r="H82" s="6"/>
    </row>
    <row r="83" spans="1:8" x14ac:dyDescent="0.2">
      <c r="A83" s="6">
        <v>2</v>
      </c>
      <c r="B83" s="6" t="s">
        <v>98</v>
      </c>
      <c r="C83" s="6" t="s">
        <v>100</v>
      </c>
      <c r="D83" s="7">
        <v>1</v>
      </c>
      <c r="E83" s="6">
        <v>1500</v>
      </c>
      <c r="F83" s="31">
        <f t="shared" si="16"/>
        <v>270</v>
      </c>
      <c r="G83" s="31">
        <f t="shared" ref="G83:G85" si="17">SUM(E83:F83)</f>
        <v>1770</v>
      </c>
      <c r="H83" s="6"/>
    </row>
    <row r="84" spans="1:8" x14ac:dyDescent="0.2">
      <c r="A84" s="6">
        <v>3</v>
      </c>
      <c r="B84" s="6" t="s">
        <v>101</v>
      </c>
      <c r="C84" s="6" t="s">
        <v>100</v>
      </c>
      <c r="D84" s="7">
        <v>1</v>
      </c>
      <c r="E84" s="6">
        <v>1900</v>
      </c>
      <c r="F84" s="31">
        <f t="shared" si="16"/>
        <v>342</v>
      </c>
      <c r="G84" s="31">
        <f t="shared" si="17"/>
        <v>2242</v>
      </c>
      <c r="H84" s="6"/>
    </row>
    <row r="85" spans="1:8" x14ac:dyDescent="0.2">
      <c r="A85" s="4">
        <v>4</v>
      </c>
      <c r="B85" s="4" t="s">
        <v>102</v>
      </c>
      <c r="C85" s="4" t="s">
        <v>100</v>
      </c>
      <c r="D85" s="20">
        <v>1</v>
      </c>
      <c r="E85" s="4">
        <v>1600</v>
      </c>
      <c r="F85" s="31">
        <f t="shared" si="16"/>
        <v>288</v>
      </c>
      <c r="G85" s="31">
        <f t="shared" si="17"/>
        <v>1888</v>
      </c>
      <c r="H85" s="4"/>
    </row>
    <row r="86" spans="1:8" x14ac:dyDescent="0.2">
      <c r="A86" s="2"/>
      <c r="B86" s="2"/>
      <c r="C86" s="2"/>
      <c r="D86" s="22"/>
      <c r="E86" s="2"/>
      <c r="F86" s="2"/>
      <c r="G86" s="2"/>
      <c r="H86" s="2"/>
    </row>
    <row r="87" spans="1:8" x14ac:dyDescent="0.2">
      <c r="A87" s="36" t="s">
        <v>103</v>
      </c>
      <c r="B87" s="37"/>
      <c r="C87" s="6"/>
      <c r="D87" s="7"/>
      <c r="E87" s="6"/>
      <c r="F87" s="6"/>
      <c r="G87" s="6"/>
      <c r="H87" s="6"/>
    </row>
    <row r="88" spans="1:8" x14ac:dyDescent="0.2">
      <c r="A88" s="6">
        <v>1</v>
      </c>
      <c r="B88" s="6" t="s">
        <v>104</v>
      </c>
      <c r="C88" s="6" t="s">
        <v>112</v>
      </c>
      <c r="D88" s="7">
        <v>1</v>
      </c>
      <c r="E88" s="31">
        <f t="shared" ref="E88:E93" si="18">+G88*0.847457627118644</f>
        <v>67796.610169491527</v>
      </c>
      <c r="F88" s="31">
        <f t="shared" ref="F88:F93" si="19">+E88*0.18</f>
        <v>12203.389830508475</v>
      </c>
      <c r="G88" s="14">
        <v>80000</v>
      </c>
      <c r="H88" s="14"/>
    </row>
    <row r="89" spans="1:8" x14ac:dyDescent="0.2">
      <c r="A89" s="6">
        <v>2</v>
      </c>
      <c r="B89" s="6" t="s">
        <v>105</v>
      </c>
      <c r="C89" s="6" t="s">
        <v>112</v>
      </c>
      <c r="D89" s="7">
        <v>1</v>
      </c>
      <c r="E89" s="31">
        <f t="shared" si="18"/>
        <v>84745.762711864401</v>
      </c>
      <c r="F89" s="31">
        <f t="shared" si="19"/>
        <v>15254.237288135591</v>
      </c>
      <c r="G89" s="14">
        <v>100000</v>
      </c>
      <c r="H89" s="14"/>
    </row>
    <row r="90" spans="1:8" x14ac:dyDescent="0.2">
      <c r="A90" s="6">
        <v>3</v>
      </c>
      <c r="B90" s="6" t="s">
        <v>106</v>
      </c>
      <c r="C90" s="6" t="s">
        <v>111</v>
      </c>
      <c r="D90" s="7">
        <v>1</v>
      </c>
      <c r="E90" s="31">
        <f t="shared" si="18"/>
        <v>84745.762711864401</v>
      </c>
      <c r="F90" s="31">
        <f t="shared" si="19"/>
        <v>15254.237288135591</v>
      </c>
      <c r="G90" s="14">
        <v>100000</v>
      </c>
      <c r="H90" s="14"/>
    </row>
    <row r="91" spans="1:8" x14ac:dyDescent="0.2">
      <c r="A91" s="6">
        <v>4</v>
      </c>
      <c r="B91" s="6" t="s">
        <v>107</v>
      </c>
      <c r="C91" s="6" t="s">
        <v>111</v>
      </c>
      <c r="D91" s="7">
        <v>1</v>
      </c>
      <c r="E91" s="31">
        <f t="shared" si="18"/>
        <v>101694.91525423729</v>
      </c>
      <c r="F91" s="31">
        <f t="shared" si="19"/>
        <v>18305.084745762713</v>
      </c>
      <c r="G91" s="14">
        <v>120000</v>
      </c>
      <c r="H91" s="14"/>
    </row>
    <row r="92" spans="1:8" x14ac:dyDescent="0.2">
      <c r="A92" s="6">
        <v>5</v>
      </c>
      <c r="B92" s="6" t="s">
        <v>108</v>
      </c>
      <c r="C92" s="6" t="s">
        <v>110</v>
      </c>
      <c r="D92" s="7">
        <v>1</v>
      </c>
      <c r="E92" s="31">
        <f t="shared" si="18"/>
        <v>101694.91525423729</v>
      </c>
      <c r="F92" s="31">
        <f t="shared" si="19"/>
        <v>18305.084745762713</v>
      </c>
      <c r="G92" s="14">
        <v>120000</v>
      </c>
      <c r="H92" s="14"/>
    </row>
    <row r="93" spans="1:8" x14ac:dyDescent="0.2">
      <c r="A93" s="4">
        <v>6</v>
      </c>
      <c r="B93" s="4" t="s">
        <v>109</v>
      </c>
      <c r="C93" s="4" t="s">
        <v>110</v>
      </c>
      <c r="D93" s="20">
        <v>1</v>
      </c>
      <c r="E93" s="31">
        <f t="shared" si="18"/>
        <v>127118.6440677966</v>
      </c>
      <c r="F93" s="31">
        <f t="shared" si="19"/>
        <v>22881.355932203387</v>
      </c>
      <c r="G93" s="24">
        <v>150000</v>
      </c>
      <c r="H93" s="24"/>
    </row>
    <row r="94" spans="1:8" x14ac:dyDescent="0.2">
      <c r="A94" s="2"/>
      <c r="B94" s="2"/>
      <c r="C94" s="2"/>
      <c r="D94" s="22"/>
      <c r="E94" s="2"/>
      <c r="F94" s="2"/>
      <c r="G94" s="2"/>
      <c r="H94" s="2"/>
    </row>
    <row r="95" spans="1:8" x14ac:dyDescent="0.2">
      <c r="A95" s="36" t="s">
        <v>130</v>
      </c>
      <c r="B95" s="37"/>
      <c r="C95" s="6"/>
      <c r="D95" s="7"/>
      <c r="E95" s="6"/>
      <c r="F95" s="6"/>
      <c r="G95" s="6"/>
      <c r="H95" s="6"/>
    </row>
    <row r="96" spans="1:8" x14ac:dyDescent="0.2">
      <c r="A96" s="6">
        <v>1</v>
      </c>
      <c r="B96" s="6" t="s">
        <v>131</v>
      </c>
      <c r="C96" s="6"/>
      <c r="D96" s="7">
        <v>1</v>
      </c>
      <c r="E96" s="31">
        <f t="shared" ref="E96:E97" si="20">+G96*0.847457627118644</f>
        <v>22033.898305084746</v>
      </c>
      <c r="F96" s="31">
        <f t="shared" ref="F96:F97" si="21">+E96*0.18</f>
        <v>3966.101694915254</v>
      </c>
      <c r="G96" s="31">
        <v>26000</v>
      </c>
      <c r="H96" s="6"/>
    </row>
    <row r="97" spans="1:8" x14ac:dyDescent="0.2">
      <c r="A97" s="6">
        <v>2</v>
      </c>
      <c r="B97" s="6" t="s">
        <v>132</v>
      </c>
      <c r="C97" s="6"/>
      <c r="D97" s="7">
        <v>1</v>
      </c>
      <c r="E97" s="31">
        <f t="shared" si="20"/>
        <v>6779.6610169491523</v>
      </c>
      <c r="F97" s="31">
        <f t="shared" si="21"/>
        <v>1220.3389830508474</v>
      </c>
      <c r="G97" s="31">
        <v>8000</v>
      </c>
      <c r="H97" s="6"/>
    </row>
    <row r="98" spans="1:8" x14ac:dyDescent="0.2">
      <c r="D98" s="15"/>
    </row>
    <row r="99" spans="1:8" x14ac:dyDescent="0.2">
      <c r="D99" s="15"/>
    </row>
    <row r="100" spans="1:8" x14ac:dyDescent="0.2">
      <c r="D100" s="15"/>
    </row>
    <row r="101" spans="1:8" x14ac:dyDescent="0.2">
      <c r="D101" s="15"/>
    </row>
    <row r="102" spans="1:8" x14ac:dyDescent="0.2">
      <c r="D102" s="15"/>
    </row>
    <row r="103" spans="1:8" x14ac:dyDescent="0.2">
      <c r="D103" s="15"/>
    </row>
    <row r="104" spans="1:8" x14ac:dyDescent="0.2">
      <c r="D104" s="15"/>
    </row>
    <row r="105" spans="1:8" x14ac:dyDescent="0.2">
      <c r="D105" s="15"/>
    </row>
    <row r="106" spans="1:8" x14ac:dyDescent="0.2">
      <c r="D106" s="15"/>
    </row>
    <row r="107" spans="1:8" x14ac:dyDescent="0.2">
      <c r="D107" s="15"/>
    </row>
    <row r="108" spans="1:8" x14ac:dyDescent="0.2">
      <c r="D108" s="15"/>
    </row>
    <row r="109" spans="1:8" x14ac:dyDescent="0.2">
      <c r="D109" s="15"/>
    </row>
    <row r="110" spans="1:8" x14ac:dyDescent="0.2">
      <c r="D110" s="15"/>
    </row>
    <row r="111" spans="1:8" x14ac:dyDescent="0.2">
      <c r="D111" s="15"/>
    </row>
    <row r="112" spans="1:8" x14ac:dyDescent="0.2">
      <c r="D112" s="15"/>
    </row>
    <row r="113" spans="4:4" x14ac:dyDescent="0.2">
      <c r="D113" s="15"/>
    </row>
    <row r="114" spans="4:4" x14ac:dyDescent="0.2">
      <c r="D114" s="15"/>
    </row>
    <row r="115" spans="4:4" x14ac:dyDescent="0.2">
      <c r="D115" s="15"/>
    </row>
    <row r="116" spans="4:4" x14ac:dyDescent="0.2">
      <c r="D116" s="15"/>
    </row>
    <row r="117" spans="4:4" x14ac:dyDescent="0.2">
      <c r="D117" s="15"/>
    </row>
    <row r="118" spans="4:4" x14ac:dyDescent="0.2">
      <c r="D118" s="15"/>
    </row>
    <row r="119" spans="4:4" x14ac:dyDescent="0.2">
      <c r="D119" s="15"/>
    </row>
    <row r="120" spans="4:4" x14ac:dyDescent="0.2">
      <c r="D120" s="15"/>
    </row>
  </sheetData>
  <mergeCells count="18">
    <mergeCell ref="B47:H47"/>
    <mergeCell ref="B48:H48"/>
    <mergeCell ref="B59:H59"/>
    <mergeCell ref="A27:H27"/>
    <mergeCell ref="A30:B30"/>
    <mergeCell ref="B2:G2"/>
    <mergeCell ref="A5:B5"/>
    <mergeCell ref="A17:H17"/>
    <mergeCell ref="A19:B19"/>
    <mergeCell ref="B28:H28"/>
    <mergeCell ref="A16:H16"/>
    <mergeCell ref="A95:B95"/>
    <mergeCell ref="A87:B87"/>
    <mergeCell ref="A50:B50"/>
    <mergeCell ref="B60:H60"/>
    <mergeCell ref="A62:B62"/>
    <mergeCell ref="A69:B69"/>
    <mergeCell ref="A81:B8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98"/>
  <sheetViews>
    <sheetView topLeftCell="A7" workbookViewId="0">
      <selection activeCell="H6" sqref="H6:H15"/>
    </sheetView>
  </sheetViews>
  <sheetFormatPr defaultRowHeight="15" x14ac:dyDescent="0.2"/>
  <cols>
    <col min="1" max="1" width="4.3046875" bestFit="1" customWidth="1"/>
    <col min="2" max="2" width="24.48046875" customWidth="1"/>
    <col min="3" max="3" width="16.140625" customWidth="1"/>
    <col min="4" max="4" width="8.875" style="15" customWidth="1"/>
    <col min="5" max="5" width="12.9140625" bestFit="1" customWidth="1"/>
    <col min="6" max="6" width="9.14453125" style="27" bestFit="1" customWidth="1"/>
    <col min="7" max="7" width="12.375" bestFit="1" customWidth="1"/>
    <col min="8" max="8" width="24.75" customWidth="1"/>
  </cols>
  <sheetData>
    <row r="1" spans="1:8" ht="21" x14ac:dyDescent="0.3">
      <c r="C1" s="1" t="s">
        <v>8</v>
      </c>
      <c r="D1" s="16"/>
    </row>
    <row r="2" spans="1:8" x14ac:dyDescent="0.2">
      <c r="B2" s="39" t="s">
        <v>113</v>
      </c>
      <c r="C2" s="39"/>
      <c r="D2" s="39"/>
      <c r="E2" s="39"/>
      <c r="F2" s="39"/>
      <c r="G2" s="39"/>
    </row>
    <row r="3" spans="1:8" ht="16.5" x14ac:dyDescent="0.25">
      <c r="A3" s="8" t="s">
        <v>0</v>
      </c>
      <c r="B3" s="9" t="s">
        <v>1</v>
      </c>
      <c r="C3" s="10" t="s">
        <v>2</v>
      </c>
      <c r="D3" s="17" t="s">
        <v>31</v>
      </c>
      <c r="E3" s="9" t="s">
        <v>63</v>
      </c>
      <c r="F3" s="28" t="s">
        <v>4</v>
      </c>
      <c r="G3" s="10" t="s">
        <v>64</v>
      </c>
      <c r="H3" s="9" t="s">
        <v>6</v>
      </c>
    </row>
    <row r="4" spans="1:8" ht="16.5" x14ac:dyDescent="0.25">
      <c r="A4" s="11"/>
      <c r="B4" s="12"/>
      <c r="C4" s="13"/>
      <c r="D4" s="18" t="s">
        <v>32</v>
      </c>
      <c r="E4" s="12" t="s">
        <v>3</v>
      </c>
      <c r="F4" s="29">
        <v>0.18</v>
      </c>
      <c r="G4" s="13" t="s">
        <v>5</v>
      </c>
      <c r="H4" s="12" t="s">
        <v>7</v>
      </c>
    </row>
    <row r="5" spans="1:8" x14ac:dyDescent="0.2">
      <c r="A5" s="25" t="s">
        <v>10</v>
      </c>
      <c r="B5" s="26"/>
      <c r="C5" s="5"/>
      <c r="D5" s="19"/>
      <c r="E5" s="5"/>
      <c r="F5" s="30"/>
      <c r="G5" s="5"/>
      <c r="H5" s="5"/>
    </row>
    <row r="6" spans="1:8" x14ac:dyDescent="0.2">
      <c r="A6" s="6">
        <v>1</v>
      </c>
      <c r="B6" s="6" t="s">
        <v>11</v>
      </c>
      <c r="C6" s="6" t="s">
        <v>12</v>
      </c>
      <c r="D6" s="7">
        <v>50</v>
      </c>
      <c r="E6" s="31">
        <f t="shared" ref="E6:E15" si="0">+G6*0.847457627118644</f>
        <v>533.89830508474574</v>
      </c>
      <c r="F6" s="31">
        <f t="shared" ref="F6:F15" si="1">+E6*0.18</f>
        <v>96.101694915254228</v>
      </c>
      <c r="G6" s="35">
        <f t="shared" ref="G6:G15" si="2">+H6/D6</f>
        <v>630</v>
      </c>
      <c r="H6" s="14">
        <v>31500</v>
      </c>
    </row>
    <row r="7" spans="1:8" x14ac:dyDescent="0.2">
      <c r="A7" s="6">
        <v>2</v>
      </c>
      <c r="B7" s="6" t="s">
        <v>13</v>
      </c>
      <c r="C7" s="6" t="s">
        <v>12</v>
      </c>
      <c r="D7" s="7">
        <v>50</v>
      </c>
      <c r="E7" s="31">
        <f t="shared" si="0"/>
        <v>593.22033898305085</v>
      </c>
      <c r="F7" s="31">
        <f t="shared" si="1"/>
        <v>106.77966101694915</v>
      </c>
      <c r="G7" s="35">
        <f t="shared" si="2"/>
        <v>700</v>
      </c>
      <c r="H7" s="14">
        <v>35000</v>
      </c>
    </row>
    <row r="8" spans="1:8" x14ac:dyDescent="0.2">
      <c r="A8" s="6">
        <v>3</v>
      </c>
      <c r="B8" s="6" t="s">
        <v>15</v>
      </c>
      <c r="C8" s="6" t="s">
        <v>14</v>
      </c>
      <c r="D8" s="7">
        <v>50</v>
      </c>
      <c r="E8" s="31">
        <f t="shared" si="0"/>
        <v>437.79661016949154</v>
      </c>
      <c r="F8" s="31">
        <f t="shared" si="1"/>
        <v>78.803389830508479</v>
      </c>
      <c r="G8" s="35">
        <f t="shared" si="2"/>
        <v>516.6</v>
      </c>
      <c r="H8" s="14">
        <v>25830</v>
      </c>
    </row>
    <row r="9" spans="1:8" x14ac:dyDescent="0.2">
      <c r="A9" s="6">
        <v>4</v>
      </c>
      <c r="B9" s="6" t="s">
        <v>16</v>
      </c>
      <c r="C9" s="6" t="s">
        <v>33</v>
      </c>
      <c r="D9" s="7">
        <v>48</v>
      </c>
      <c r="E9" s="31">
        <f t="shared" si="0"/>
        <v>556.1440677966101</v>
      </c>
      <c r="F9" s="31">
        <f t="shared" si="1"/>
        <v>100.10593220338981</v>
      </c>
      <c r="G9" s="35">
        <f t="shared" si="2"/>
        <v>656.25</v>
      </c>
      <c r="H9" s="14">
        <v>31500</v>
      </c>
    </row>
    <row r="10" spans="1:8" x14ac:dyDescent="0.2">
      <c r="A10" s="6">
        <v>5</v>
      </c>
      <c r="B10" s="6" t="s">
        <v>17</v>
      </c>
      <c r="C10" s="6" t="s">
        <v>33</v>
      </c>
      <c r="D10" s="7">
        <v>48</v>
      </c>
      <c r="E10" s="31">
        <f t="shared" si="0"/>
        <v>617.93785310734461</v>
      </c>
      <c r="F10" s="31">
        <f t="shared" si="1"/>
        <v>111.22881355932202</v>
      </c>
      <c r="G10" s="35">
        <f t="shared" si="2"/>
        <v>729.16666666666663</v>
      </c>
      <c r="H10" s="14">
        <v>35000</v>
      </c>
    </row>
    <row r="11" spans="1:8" x14ac:dyDescent="0.2">
      <c r="A11" s="6">
        <v>6</v>
      </c>
      <c r="B11" s="6" t="s">
        <v>18</v>
      </c>
      <c r="C11" s="6" t="s">
        <v>34</v>
      </c>
      <c r="D11" s="7">
        <v>48</v>
      </c>
      <c r="E11" s="31">
        <f t="shared" si="0"/>
        <v>456.03813559322032</v>
      </c>
      <c r="F11" s="31">
        <f t="shared" si="1"/>
        <v>82.086864406779654</v>
      </c>
      <c r="G11" s="35">
        <f t="shared" si="2"/>
        <v>538.125</v>
      </c>
      <c r="H11" s="14">
        <v>25830</v>
      </c>
    </row>
    <row r="12" spans="1:8" x14ac:dyDescent="0.2">
      <c r="A12" s="6">
        <v>7</v>
      </c>
      <c r="B12" s="6" t="s">
        <v>19</v>
      </c>
      <c r="C12" s="6" t="s">
        <v>35</v>
      </c>
      <c r="D12" s="7">
        <v>37</v>
      </c>
      <c r="E12" s="31">
        <f t="shared" si="0"/>
        <v>721.48419606046718</v>
      </c>
      <c r="F12" s="31">
        <f t="shared" si="1"/>
        <v>129.86715529088409</v>
      </c>
      <c r="G12" s="35">
        <f t="shared" si="2"/>
        <v>851.35135135135135</v>
      </c>
      <c r="H12" s="14">
        <v>31500</v>
      </c>
    </row>
    <row r="13" spans="1:8" x14ac:dyDescent="0.2">
      <c r="A13" s="6">
        <v>8</v>
      </c>
      <c r="B13" s="6" t="s">
        <v>20</v>
      </c>
      <c r="C13" s="6" t="s">
        <v>35</v>
      </c>
      <c r="D13" s="7">
        <v>37</v>
      </c>
      <c r="E13" s="31">
        <f t="shared" si="0"/>
        <v>801.64910673385248</v>
      </c>
      <c r="F13" s="31">
        <f t="shared" si="1"/>
        <v>144.29683921209343</v>
      </c>
      <c r="G13" s="35">
        <f t="shared" si="2"/>
        <v>945.94594594594594</v>
      </c>
      <c r="H13" s="14">
        <v>35000</v>
      </c>
    </row>
    <row r="14" spans="1:8" x14ac:dyDescent="0.2">
      <c r="A14" s="6">
        <v>9</v>
      </c>
      <c r="B14" s="6" t="s">
        <v>21</v>
      </c>
      <c r="C14" s="6" t="s">
        <v>36</v>
      </c>
      <c r="D14" s="7">
        <v>37</v>
      </c>
      <c r="E14" s="31">
        <f t="shared" si="0"/>
        <v>591.61704076958313</v>
      </c>
      <c r="F14" s="31">
        <f t="shared" si="1"/>
        <v>106.49106733852496</v>
      </c>
      <c r="G14" s="35">
        <f t="shared" si="2"/>
        <v>698.10810810810813</v>
      </c>
      <c r="H14" s="14">
        <v>25830</v>
      </c>
    </row>
    <row r="15" spans="1:8" x14ac:dyDescent="0.2">
      <c r="A15" s="6">
        <v>10</v>
      </c>
      <c r="B15" s="6" t="s">
        <v>29</v>
      </c>
      <c r="C15" s="6" t="s">
        <v>37</v>
      </c>
      <c r="D15" s="7">
        <v>33</v>
      </c>
      <c r="E15" s="31">
        <f t="shared" si="0"/>
        <v>663.32819722650231</v>
      </c>
      <c r="F15" s="31">
        <f t="shared" si="1"/>
        <v>119.39907550077041</v>
      </c>
      <c r="G15" s="35">
        <f t="shared" si="2"/>
        <v>782.72727272727275</v>
      </c>
      <c r="H15" s="14">
        <v>25830</v>
      </c>
    </row>
    <row r="16" spans="1:8" x14ac:dyDescent="0.2">
      <c r="A16" s="40" t="s">
        <v>125</v>
      </c>
      <c r="B16" s="40"/>
      <c r="C16" s="40"/>
      <c r="D16" s="40"/>
      <c r="E16" s="40"/>
      <c r="F16" s="40"/>
      <c r="G16" s="40"/>
      <c r="H16" s="40"/>
    </row>
    <row r="17" spans="1:9" x14ac:dyDescent="0.2">
      <c r="A17" s="38" t="s">
        <v>126</v>
      </c>
      <c r="B17" s="38"/>
      <c r="C17" s="38"/>
      <c r="D17" s="38"/>
      <c r="E17" s="38"/>
      <c r="F17" s="38"/>
      <c r="G17" s="38"/>
      <c r="H17" s="38"/>
    </row>
    <row r="19" spans="1:9" x14ac:dyDescent="0.2">
      <c r="A19" s="36" t="s">
        <v>22</v>
      </c>
      <c r="B19" s="37"/>
      <c r="C19" s="6"/>
      <c r="D19" s="7"/>
      <c r="E19" s="6"/>
      <c r="F19" s="31"/>
      <c r="G19" s="6"/>
      <c r="H19" s="6"/>
    </row>
    <row r="20" spans="1:9" x14ac:dyDescent="0.2">
      <c r="A20" s="6">
        <v>1</v>
      </c>
      <c r="B20" s="6" t="s">
        <v>23</v>
      </c>
      <c r="C20" s="6"/>
      <c r="D20" s="7">
        <v>20</v>
      </c>
      <c r="E20" s="31">
        <f t="shared" ref="E20:E25" si="3">+G20*0.847457627118644</f>
        <v>1250</v>
      </c>
      <c r="F20" s="31">
        <f t="shared" ref="F20:F25" si="4">+E20*0.18</f>
        <v>225</v>
      </c>
      <c r="G20" s="35">
        <f>+H20/D20</f>
        <v>1475</v>
      </c>
      <c r="H20" s="14">
        <v>29500</v>
      </c>
    </row>
    <row r="21" spans="1:9" x14ac:dyDescent="0.2">
      <c r="A21" s="6">
        <v>2</v>
      </c>
      <c r="B21" s="6" t="s">
        <v>24</v>
      </c>
      <c r="C21" s="6"/>
      <c r="D21" s="7">
        <v>30</v>
      </c>
      <c r="E21" s="31">
        <f t="shared" si="3"/>
        <v>833.33333333333337</v>
      </c>
      <c r="F21" s="31">
        <f t="shared" si="4"/>
        <v>150</v>
      </c>
      <c r="G21" s="35">
        <f t="shared" ref="G21:G25" si="5">+H21/D21</f>
        <v>983.33333333333337</v>
      </c>
      <c r="H21" s="14">
        <v>29500</v>
      </c>
    </row>
    <row r="22" spans="1:9" x14ac:dyDescent="0.2">
      <c r="A22" s="6">
        <v>3</v>
      </c>
      <c r="B22" s="6" t="s">
        <v>25</v>
      </c>
      <c r="C22" s="6"/>
      <c r="D22" s="7">
        <v>27</v>
      </c>
      <c r="E22" s="31">
        <f t="shared" si="3"/>
        <v>925.92592592592587</v>
      </c>
      <c r="F22" s="31">
        <f t="shared" si="4"/>
        <v>166.66666666666666</v>
      </c>
      <c r="G22" s="35">
        <f t="shared" si="5"/>
        <v>1092.5925925925926</v>
      </c>
      <c r="H22" s="14">
        <v>29500</v>
      </c>
    </row>
    <row r="23" spans="1:9" x14ac:dyDescent="0.2">
      <c r="A23" s="6">
        <v>4</v>
      </c>
      <c r="B23" s="6" t="s">
        <v>26</v>
      </c>
      <c r="C23" s="6"/>
      <c r="D23" s="7">
        <v>28</v>
      </c>
      <c r="E23" s="31">
        <f t="shared" si="3"/>
        <v>892.85714285714289</v>
      </c>
      <c r="F23" s="31">
        <f t="shared" si="4"/>
        <v>160.71428571428572</v>
      </c>
      <c r="G23" s="35">
        <f t="shared" si="5"/>
        <v>1053.5714285714287</v>
      </c>
      <c r="H23" s="14">
        <v>29500</v>
      </c>
    </row>
    <row r="24" spans="1:9" x14ac:dyDescent="0.2">
      <c r="A24" s="6">
        <v>5</v>
      </c>
      <c r="B24" s="6" t="s">
        <v>27</v>
      </c>
      <c r="C24" s="6"/>
      <c r="D24" s="7">
        <v>52</v>
      </c>
      <c r="E24" s="31">
        <f t="shared" si="3"/>
        <v>480.76923076923072</v>
      </c>
      <c r="F24" s="31">
        <f t="shared" si="4"/>
        <v>86.538461538461519</v>
      </c>
      <c r="G24" s="35">
        <f t="shared" si="5"/>
        <v>567.30769230769226</v>
      </c>
      <c r="H24" s="14">
        <v>29500</v>
      </c>
    </row>
    <row r="25" spans="1:9" x14ac:dyDescent="0.2">
      <c r="A25" s="6">
        <v>6</v>
      </c>
      <c r="B25" s="6" t="s">
        <v>28</v>
      </c>
      <c r="C25" s="6"/>
      <c r="D25" s="7">
        <v>40</v>
      </c>
      <c r="E25" s="31">
        <f t="shared" si="3"/>
        <v>625</v>
      </c>
      <c r="F25" s="31">
        <f t="shared" si="4"/>
        <v>112.5</v>
      </c>
      <c r="G25" s="35">
        <f t="shared" si="5"/>
        <v>737.5</v>
      </c>
      <c r="H25" s="14">
        <v>29500</v>
      </c>
    </row>
    <row r="26" spans="1:9" x14ac:dyDescent="0.2">
      <c r="A26" s="4"/>
      <c r="B26" s="4"/>
      <c r="C26" s="4"/>
      <c r="D26" s="20"/>
      <c r="E26" s="4"/>
      <c r="F26" s="32"/>
      <c r="G26" s="4"/>
      <c r="H26" s="4"/>
    </row>
    <row r="27" spans="1:9" x14ac:dyDescent="0.2">
      <c r="A27" s="40" t="s">
        <v>125</v>
      </c>
      <c r="B27" s="40"/>
      <c r="C27" s="40"/>
      <c r="D27" s="40"/>
      <c r="E27" s="40"/>
      <c r="F27" s="40"/>
      <c r="G27" s="40"/>
      <c r="H27" s="40"/>
      <c r="I27" t="s">
        <v>127</v>
      </c>
    </row>
    <row r="28" spans="1:9" x14ac:dyDescent="0.2">
      <c r="B28" s="38" t="s">
        <v>128</v>
      </c>
      <c r="C28" s="38"/>
      <c r="D28" s="38"/>
      <c r="E28" s="38"/>
      <c r="F28" s="38"/>
      <c r="G28" s="38"/>
      <c r="H28" s="38"/>
    </row>
    <row r="29" spans="1:9" x14ac:dyDescent="0.2">
      <c r="A29" s="3"/>
      <c r="B29" s="3"/>
      <c r="C29" s="3"/>
      <c r="D29" s="21"/>
      <c r="E29" s="3"/>
      <c r="F29" s="33"/>
      <c r="G29" s="3"/>
      <c r="H29" s="3"/>
    </row>
    <row r="30" spans="1:9" x14ac:dyDescent="0.2">
      <c r="A30" s="36" t="s">
        <v>9</v>
      </c>
      <c r="B30" s="37"/>
      <c r="C30" s="5"/>
      <c r="D30" s="19"/>
      <c r="E30" s="5"/>
      <c r="F30" s="30"/>
      <c r="G30" s="5"/>
      <c r="H30" s="5"/>
    </row>
    <row r="31" spans="1:9" x14ac:dyDescent="0.2">
      <c r="A31" s="6">
        <v>1</v>
      </c>
      <c r="B31" s="6" t="s">
        <v>38</v>
      </c>
      <c r="C31" s="6" t="s">
        <v>39</v>
      </c>
      <c r="D31" s="7">
        <v>1</v>
      </c>
      <c r="E31" s="31">
        <f t="shared" ref="E31:E46" si="6">+G31*0.847457627118644</f>
        <v>13983.050847457627</v>
      </c>
      <c r="F31" s="31">
        <f t="shared" ref="F31:F46" si="7">+E31*0.18</f>
        <v>2516.9491525423728</v>
      </c>
      <c r="G31" s="31">
        <v>16500</v>
      </c>
      <c r="H31" s="14">
        <v>16500</v>
      </c>
    </row>
    <row r="32" spans="1:9" x14ac:dyDescent="0.2">
      <c r="A32" s="6">
        <v>2</v>
      </c>
      <c r="B32" s="6" t="s">
        <v>40</v>
      </c>
      <c r="C32" s="6" t="s">
        <v>41</v>
      </c>
      <c r="D32" s="7">
        <v>3</v>
      </c>
      <c r="E32" s="31">
        <f t="shared" si="6"/>
        <v>9180.7909604519773</v>
      </c>
      <c r="F32" s="31">
        <f t="shared" si="7"/>
        <v>1652.542372881356</v>
      </c>
      <c r="G32" s="31">
        <f>+H32/D32</f>
        <v>10833.333333333334</v>
      </c>
      <c r="H32" s="14">
        <v>32500</v>
      </c>
    </row>
    <row r="33" spans="1:8" x14ac:dyDescent="0.2">
      <c r="A33" s="6">
        <v>3</v>
      </c>
      <c r="B33" s="6" t="s">
        <v>43</v>
      </c>
      <c r="C33" s="6" t="s">
        <v>44</v>
      </c>
      <c r="D33" s="7">
        <v>6</v>
      </c>
      <c r="E33" s="31">
        <f t="shared" si="6"/>
        <v>3601.694915254237</v>
      </c>
      <c r="F33" s="31">
        <f t="shared" si="7"/>
        <v>648.30508474576266</v>
      </c>
      <c r="G33" s="31">
        <f t="shared" ref="G33:G46" si="8">+H33/D33</f>
        <v>4250</v>
      </c>
      <c r="H33" s="14">
        <v>25500</v>
      </c>
    </row>
    <row r="34" spans="1:8" x14ac:dyDescent="0.2">
      <c r="A34" s="6">
        <v>4</v>
      </c>
      <c r="B34" s="6" t="s">
        <v>42</v>
      </c>
      <c r="C34" s="6" t="s">
        <v>51</v>
      </c>
      <c r="D34" s="7">
        <v>4</v>
      </c>
      <c r="E34" s="31">
        <f t="shared" si="6"/>
        <v>5402.5423728813557</v>
      </c>
      <c r="F34" s="31">
        <f t="shared" si="7"/>
        <v>972.45762711864404</v>
      </c>
      <c r="G34" s="31">
        <f t="shared" si="8"/>
        <v>6375</v>
      </c>
      <c r="H34" s="14">
        <v>25500</v>
      </c>
    </row>
    <row r="35" spans="1:8" x14ac:dyDescent="0.2">
      <c r="A35" s="6">
        <v>5</v>
      </c>
      <c r="B35" s="6" t="s">
        <v>45</v>
      </c>
      <c r="C35" s="6" t="s">
        <v>53</v>
      </c>
      <c r="D35" s="7">
        <v>4</v>
      </c>
      <c r="E35" s="31">
        <f t="shared" si="6"/>
        <v>5402.5423728813557</v>
      </c>
      <c r="F35" s="31">
        <f t="shared" si="7"/>
        <v>972.45762711864404</v>
      </c>
      <c r="G35" s="31">
        <f t="shared" si="8"/>
        <v>6375</v>
      </c>
      <c r="H35" s="14">
        <v>25500</v>
      </c>
    </row>
    <row r="36" spans="1:8" x14ac:dyDescent="0.2">
      <c r="A36" s="6">
        <v>6</v>
      </c>
      <c r="B36" s="6" t="s">
        <v>46</v>
      </c>
      <c r="C36" s="6" t="s">
        <v>54</v>
      </c>
      <c r="D36" s="7">
        <v>4</v>
      </c>
      <c r="E36" s="31">
        <f t="shared" si="6"/>
        <v>5402.5423728813557</v>
      </c>
      <c r="F36" s="31">
        <f t="shared" si="7"/>
        <v>972.45762711864404</v>
      </c>
      <c r="G36" s="31">
        <f t="shared" si="8"/>
        <v>6375</v>
      </c>
      <c r="H36" s="14">
        <v>25500</v>
      </c>
    </row>
    <row r="37" spans="1:8" x14ac:dyDescent="0.2">
      <c r="A37" s="6">
        <v>7</v>
      </c>
      <c r="B37" s="6" t="s">
        <v>47</v>
      </c>
      <c r="C37" s="6" t="s">
        <v>52</v>
      </c>
      <c r="D37" s="7">
        <v>6</v>
      </c>
      <c r="E37" s="31">
        <f t="shared" si="6"/>
        <v>3601.694915254237</v>
      </c>
      <c r="F37" s="31">
        <f t="shared" si="7"/>
        <v>648.30508474576266</v>
      </c>
      <c r="G37" s="31">
        <f t="shared" si="8"/>
        <v>4250</v>
      </c>
      <c r="H37" s="14">
        <v>25500</v>
      </c>
    </row>
    <row r="38" spans="1:8" x14ac:dyDescent="0.2">
      <c r="A38" s="6">
        <v>8</v>
      </c>
      <c r="B38" s="6" t="s">
        <v>48</v>
      </c>
      <c r="C38" s="6" t="s">
        <v>52</v>
      </c>
      <c r="D38" s="7">
        <v>6</v>
      </c>
      <c r="E38" s="31">
        <f t="shared" si="6"/>
        <v>3601.694915254237</v>
      </c>
      <c r="F38" s="31">
        <f t="shared" si="7"/>
        <v>648.30508474576266</v>
      </c>
      <c r="G38" s="31">
        <f t="shared" si="8"/>
        <v>4250</v>
      </c>
      <c r="H38" s="14">
        <v>25500</v>
      </c>
    </row>
    <row r="39" spans="1:8" x14ac:dyDescent="0.2">
      <c r="A39" s="6">
        <v>9</v>
      </c>
      <c r="B39" s="6" t="s">
        <v>49</v>
      </c>
      <c r="C39" s="6" t="s">
        <v>52</v>
      </c>
      <c r="D39" s="7">
        <v>6</v>
      </c>
      <c r="E39" s="31">
        <f t="shared" si="6"/>
        <v>3601.694915254237</v>
      </c>
      <c r="F39" s="31">
        <f t="shared" si="7"/>
        <v>648.30508474576266</v>
      </c>
      <c r="G39" s="31">
        <f t="shared" si="8"/>
        <v>4250</v>
      </c>
      <c r="H39" s="14">
        <v>25500</v>
      </c>
    </row>
    <row r="40" spans="1:8" x14ac:dyDescent="0.2">
      <c r="A40" s="6">
        <v>10</v>
      </c>
      <c r="B40" s="6" t="s">
        <v>50</v>
      </c>
      <c r="C40" s="6" t="s">
        <v>52</v>
      </c>
      <c r="D40" s="7">
        <v>6</v>
      </c>
      <c r="E40" s="31">
        <f t="shared" si="6"/>
        <v>3601.694915254237</v>
      </c>
      <c r="F40" s="31">
        <f t="shared" si="7"/>
        <v>648.30508474576266</v>
      </c>
      <c r="G40" s="31">
        <f t="shared" si="8"/>
        <v>4250</v>
      </c>
      <c r="H40" s="14">
        <v>25500</v>
      </c>
    </row>
    <row r="41" spans="1:8" x14ac:dyDescent="0.2">
      <c r="A41" s="6">
        <v>11</v>
      </c>
      <c r="B41" s="6" t="s">
        <v>55</v>
      </c>
      <c r="C41" s="6" t="s">
        <v>60</v>
      </c>
      <c r="D41" s="7">
        <v>8</v>
      </c>
      <c r="E41" s="31">
        <f t="shared" si="6"/>
        <v>2701.2711864406779</v>
      </c>
      <c r="F41" s="31">
        <f t="shared" si="7"/>
        <v>486.22881355932202</v>
      </c>
      <c r="G41" s="31">
        <f t="shared" si="8"/>
        <v>3187.5</v>
      </c>
      <c r="H41" s="14">
        <v>25500</v>
      </c>
    </row>
    <row r="42" spans="1:8" x14ac:dyDescent="0.2">
      <c r="A42" s="6">
        <v>12</v>
      </c>
      <c r="B42" s="6" t="s">
        <v>56</v>
      </c>
      <c r="C42" s="6" t="s">
        <v>61</v>
      </c>
      <c r="D42" s="7">
        <v>11</v>
      </c>
      <c r="E42" s="31">
        <f t="shared" si="6"/>
        <v>1964.5608628659475</v>
      </c>
      <c r="F42" s="31">
        <f t="shared" si="7"/>
        <v>353.6209553158705</v>
      </c>
      <c r="G42" s="31">
        <f t="shared" si="8"/>
        <v>2318.181818181818</v>
      </c>
      <c r="H42" s="14">
        <v>25500</v>
      </c>
    </row>
    <row r="43" spans="1:8" x14ac:dyDescent="0.2">
      <c r="A43" s="6">
        <v>13</v>
      </c>
      <c r="B43" s="6" t="s">
        <v>45</v>
      </c>
      <c r="C43" s="6" t="s">
        <v>61</v>
      </c>
      <c r="D43" s="7">
        <v>11</v>
      </c>
      <c r="E43" s="31">
        <f t="shared" si="6"/>
        <v>1964.5608628659475</v>
      </c>
      <c r="F43" s="31">
        <f t="shared" si="7"/>
        <v>353.6209553158705</v>
      </c>
      <c r="G43" s="31">
        <f t="shared" si="8"/>
        <v>2318.181818181818</v>
      </c>
      <c r="H43" s="14">
        <v>25500</v>
      </c>
    </row>
    <row r="44" spans="1:8" x14ac:dyDescent="0.2">
      <c r="A44" s="6">
        <v>14</v>
      </c>
      <c r="B44" s="6" t="s">
        <v>57</v>
      </c>
      <c r="C44" s="6" t="s">
        <v>61</v>
      </c>
      <c r="D44" s="7">
        <v>11</v>
      </c>
      <c r="E44" s="31">
        <f t="shared" si="6"/>
        <v>1964.5608628659475</v>
      </c>
      <c r="F44" s="31">
        <f t="shared" si="7"/>
        <v>353.6209553158705</v>
      </c>
      <c r="G44" s="31">
        <f t="shared" si="8"/>
        <v>2318.181818181818</v>
      </c>
      <c r="H44" s="14">
        <v>25500</v>
      </c>
    </row>
    <row r="45" spans="1:8" x14ac:dyDescent="0.2">
      <c r="A45" s="6">
        <v>15</v>
      </c>
      <c r="B45" s="6" t="s">
        <v>58</v>
      </c>
      <c r="C45" s="6" t="s">
        <v>62</v>
      </c>
      <c r="D45" s="7">
        <v>16</v>
      </c>
      <c r="E45" s="31">
        <f t="shared" si="6"/>
        <v>1350.6355932203389</v>
      </c>
      <c r="F45" s="31">
        <f t="shared" si="7"/>
        <v>243.11440677966101</v>
      </c>
      <c r="G45" s="31">
        <f t="shared" si="8"/>
        <v>1593.75</v>
      </c>
      <c r="H45" s="14">
        <v>25500</v>
      </c>
    </row>
    <row r="46" spans="1:8" x14ac:dyDescent="0.2">
      <c r="A46" s="4">
        <v>16</v>
      </c>
      <c r="B46" s="4" t="s">
        <v>59</v>
      </c>
      <c r="C46" s="4" t="s">
        <v>62</v>
      </c>
      <c r="D46" s="20">
        <v>16</v>
      </c>
      <c r="E46" s="31">
        <f t="shared" si="6"/>
        <v>1350.6355932203389</v>
      </c>
      <c r="F46" s="31">
        <f t="shared" si="7"/>
        <v>243.11440677966101</v>
      </c>
      <c r="G46" s="31">
        <f t="shared" si="8"/>
        <v>1593.75</v>
      </c>
      <c r="H46" s="14">
        <v>25500</v>
      </c>
    </row>
    <row r="47" spans="1:8" x14ac:dyDescent="0.2">
      <c r="A47" s="2"/>
      <c r="B47" s="40" t="s">
        <v>125</v>
      </c>
      <c r="C47" s="40"/>
      <c r="D47" s="40"/>
      <c r="E47" s="40"/>
      <c r="F47" s="40"/>
      <c r="G47" s="40"/>
      <c r="H47" s="40"/>
    </row>
    <row r="48" spans="1:8" x14ac:dyDescent="0.2">
      <c r="B48" s="38" t="s">
        <v>129</v>
      </c>
      <c r="C48" s="38"/>
      <c r="D48" s="38"/>
      <c r="E48" s="38"/>
      <c r="F48" s="38"/>
      <c r="G48" s="38"/>
      <c r="H48" s="38"/>
    </row>
    <row r="49" spans="1:8" x14ac:dyDescent="0.2">
      <c r="B49" s="38"/>
      <c r="C49" s="38"/>
      <c r="D49" s="38"/>
      <c r="E49" s="38"/>
      <c r="F49" s="38"/>
      <c r="G49" s="38"/>
      <c r="H49" s="38"/>
    </row>
    <row r="50" spans="1:8" x14ac:dyDescent="0.2">
      <c r="A50" s="3"/>
      <c r="B50" s="3"/>
      <c r="C50" s="3"/>
      <c r="D50" s="21"/>
      <c r="E50" s="3"/>
      <c r="F50" s="33"/>
      <c r="G50" s="3"/>
      <c r="H50" s="3"/>
    </row>
    <row r="51" spans="1:8" x14ac:dyDescent="0.2">
      <c r="A51" s="36" t="s">
        <v>65</v>
      </c>
      <c r="B51" s="37"/>
      <c r="C51" s="5"/>
      <c r="D51" s="19"/>
      <c r="E51" s="30"/>
      <c r="F51" s="30"/>
      <c r="G51" s="30"/>
      <c r="H51" s="5"/>
    </row>
    <row r="52" spans="1:8" x14ac:dyDescent="0.2">
      <c r="A52" s="6">
        <v>1</v>
      </c>
      <c r="B52" s="6" t="s">
        <v>66</v>
      </c>
      <c r="C52" s="6" t="s">
        <v>67</v>
      </c>
      <c r="D52" s="7">
        <v>12</v>
      </c>
      <c r="E52" s="31">
        <f t="shared" ref="E52:E58" si="9">+G52*0.847457627118644</f>
        <v>1800.8474576271185</v>
      </c>
      <c r="F52" s="31">
        <f t="shared" ref="F52:F58" si="10">+E52*0.18</f>
        <v>324.15254237288133</v>
      </c>
      <c r="G52" s="31">
        <f>+H52/D52</f>
        <v>2125</v>
      </c>
      <c r="H52" s="14">
        <v>25500</v>
      </c>
    </row>
    <row r="53" spans="1:8" x14ac:dyDescent="0.2">
      <c r="A53" s="6">
        <v>2</v>
      </c>
      <c r="B53" s="6" t="s">
        <v>68</v>
      </c>
      <c r="C53" s="6" t="s">
        <v>69</v>
      </c>
      <c r="D53" s="7">
        <v>22</v>
      </c>
      <c r="E53" s="31">
        <f t="shared" si="9"/>
        <v>982.28043143297373</v>
      </c>
      <c r="F53" s="31">
        <f t="shared" si="10"/>
        <v>176.81047765793525</v>
      </c>
      <c r="G53" s="31">
        <f t="shared" ref="G53:G58" si="11">+H53/D53</f>
        <v>1159.090909090909</v>
      </c>
      <c r="H53" s="14">
        <v>25500</v>
      </c>
    </row>
    <row r="54" spans="1:8" x14ac:dyDescent="0.2">
      <c r="A54" s="6">
        <v>3</v>
      </c>
      <c r="B54" s="6" t="s">
        <v>70</v>
      </c>
      <c r="C54" s="6" t="s">
        <v>67</v>
      </c>
      <c r="D54" s="7">
        <v>12</v>
      </c>
      <c r="E54" s="31">
        <f t="shared" si="9"/>
        <v>1800.8474576271185</v>
      </c>
      <c r="F54" s="31">
        <f t="shared" si="10"/>
        <v>324.15254237288133</v>
      </c>
      <c r="G54" s="31">
        <f t="shared" si="11"/>
        <v>2125</v>
      </c>
      <c r="H54" s="14">
        <v>25500</v>
      </c>
    </row>
    <row r="55" spans="1:8" x14ac:dyDescent="0.2">
      <c r="A55" s="6">
        <v>4</v>
      </c>
      <c r="B55" s="6" t="s">
        <v>71</v>
      </c>
      <c r="C55" s="6" t="s">
        <v>69</v>
      </c>
      <c r="D55" s="7">
        <v>22</v>
      </c>
      <c r="E55" s="31">
        <f t="shared" si="9"/>
        <v>982.28043143297373</v>
      </c>
      <c r="F55" s="31">
        <f t="shared" si="10"/>
        <v>176.81047765793525</v>
      </c>
      <c r="G55" s="31">
        <f t="shared" si="11"/>
        <v>1159.090909090909</v>
      </c>
      <c r="H55" s="14">
        <v>25500</v>
      </c>
    </row>
    <row r="56" spans="1:8" x14ac:dyDescent="0.2">
      <c r="A56" s="6">
        <v>5</v>
      </c>
      <c r="B56" s="6" t="s">
        <v>72</v>
      </c>
      <c r="C56" s="6" t="s">
        <v>67</v>
      </c>
      <c r="D56" s="7">
        <v>12</v>
      </c>
      <c r="E56" s="31">
        <f t="shared" si="9"/>
        <v>1800.8474576271185</v>
      </c>
      <c r="F56" s="31">
        <f t="shared" si="10"/>
        <v>324.15254237288133</v>
      </c>
      <c r="G56" s="31">
        <f t="shared" si="11"/>
        <v>2125</v>
      </c>
      <c r="H56" s="14">
        <v>25500</v>
      </c>
    </row>
    <row r="57" spans="1:8" x14ac:dyDescent="0.2">
      <c r="A57" s="6">
        <v>6</v>
      </c>
      <c r="B57" s="6" t="s">
        <v>73</v>
      </c>
      <c r="C57" s="6"/>
      <c r="D57" s="7">
        <v>21</v>
      </c>
      <c r="E57" s="31">
        <f t="shared" si="9"/>
        <v>1029.0556900726392</v>
      </c>
      <c r="F57" s="31">
        <f t="shared" si="10"/>
        <v>185.23002421307504</v>
      </c>
      <c r="G57" s="31">
        <f t="shared" si="11"/>
        <v>1214.2857142857142</v>
      </c>
      <c r="H57" s="14">
        <v>25500</v>
      </c>
    </row>
    <row r="58" spans="1:8" x14ac:dyDescent="0.2">
      <c r="A58" s="6">
        <v>7</v>
      </c>
      <c r="B58" s="6" t="s">
        <v>74</v>
      </c>
      <c r="C58" s="6"/>
      <c r="D58" s="7">
        <v>21</v>
      </c>
      <c r="E58" s="31">
        <f t="shared" si="9"/>
        <v>1029.0556900726392</v>
      </c>
      <c r="F58" s="31">
        <f t="shared" si="10"/>
        <v>185.23002421307504</v>
      </c>
      <c r="G58" s="31">
        <f t="shared" si="11"/>
        <v>1214.2857142857142</v>
      </c>
      <c r="H58" s="14">
        <v>25500</v>
      </c>
    </row>
    <row r="59" spans="1:8" x14ac:dyDescent="0.2">
      <c r="A59" s="4"/>
      <c r="B59" s="4"/>
      <c r="C59" s="4"/>
      <c r="D59" s="20"/>
      <c r="E59" s="4"/>
      <c r="F59" s="32"/>
      <c r="G59" s="4"/>
      <c r="H59" s="4"/>
    </row>
    <row r="60" spans="1:8" x14ac:dyDescent="0.2">
      <c r="A60" s="2"/>
      <c r="B60" s="40" t="s">
        <v>125</v>
      </c>
      <c r="C60" s="40"/>
      <c r="D60" s="40"/>
      <c r="E60" s="40"/>
      <c r="F60" s="40"/>
      <c r="G60" s="40"/>
      <c r="H60" s="40"/>
    </row>
    <row r="61" spans="1:8" x14ac:dyDescent="0.2">
      <c r="B61" s="38" t="s">
        <v>129</v>
      </c>
      <c r="C61" s="38"/>
      <c r="D61" s="38"/>
      <c r="E61" s="38"/>
      <c r="F61" s="38"/>
      <c r="G61" s="38"/>
      <c r="H61" s="38"/>
    </row>
    <row r="62" spans="1:8" x14ac:dyDescent="0.2">
      <c r="A62" s="3"/>
      <c r="B62" s="3"/>
      <c r="C62" s="3"/>
      <c r="D62" s="21"/>
      <c r="E62" s="3"/>
      <c r="F62" s="33"/>
      <c r="G62" s="3"/>
      <c r="H62" s="3"/>
    </row>
    <row r="63" spans="1:8" x14ac:dyDescent="0.2">
      <c r="A63" s="36" t="s">
        <v>75</v>
      </c>
      <c r="B63" s="37"/>
      <c r="C63" s="5"/>
      <c r="D63" s="19"/>
      <c r="E63" s="5"/>
      <c r="F63" s="30"/>
      <c r="G63" s="5"/>
      <c r="H63" s="5"/>
    </row>
    <row r="64" spans="1:8" x14ac:dyDescent="0.2">
      <c r="A64" s="6">
        <v>1</v>
      </c>
      <c r="B64" s="6" t="s">
        <v>76</v>
      </c>
      <c r="C64" s="6" t="s">
        <v>77</v>
      </c>
      <c r="D64" s="7">
        <v>1</v>
      </c>
      <c r="E64" s="31">
        <f t="shared" ref="E64:E67" si="12">+G64*0.847457627118644</f>
        <v>9745.7627118644068</v>
      </c>
      <c r="F64" s="31">
        <f t="shared" ref="F64:F67" si="13">+E64*0.18</f>
        <v>1754.2372881355932</v>
      </c>
      <c r="G64" s="6">
        <v>11500</v>
      </c>
      <c r="H64" s="14"/>
    </row>
    <row r="65" spans="1:11" x14ac:dyDescent="0.2">
      <c r="A65" s="6">
        <v>2</v>
      </c>
      <c r="B65" s="6" t="s">
        <v>76</v>
      </c>
      <c r="C65" s="6" t="s">
        <v>77</v>
      </c>
      <c r="D65" s="7">
        <v>1</v>
      </c>
      <c r="E65" s="31">
        <f t="shared" si="12"/>
        <v>13983.050847457627</v>
      </c>
      <c r="F65" s="31">
        <f t="shared" si="13"/>
        <v>2516.9491525423728</v>
      </c>
      <c r="G65" s="6">
        <v>16500</v>
      </c>
      <c r="H65" s="14"/>
    </row>
    <row r="66" spans="1:11" x14ac:dyDescent="0.2">
      <c r="A66" s="6">
        <v>3</v>
      </c>
      <c r="B66" s="6" t="s">
        <v>78</v>
      </c>
      <c r="C66" s="6" t="s">
        <v>80</v>
      </c>
      <c r="D66" s="7">
        <v>1</v>
      </c>
      <c r="E66" s="31">
        <f t="shared" si="12"/>
        <v>13983.050847457627</v>
      </c>
      <c r="F66" s="31">
        <f t="shared" si="13"/>
        <v>2516.9491525423728</v>
      </c>
      <c r="G66" s="6">
        <v>16500</v>
      </c>
      <c r="H66" s="14"/>
    </row>
    <row r="67" spans="1:11" x14ac:dyDescent="0.2">
      <c r="A67" s="6">
        <v>4</v>
      </c>
      <c r="B67" s="6" t="s">
        <v>79</v>
      </c>
      <c r="C67" s="6" t="s">
        <v>80</v>
      </c>
      <c r="D67" s="7">
        <v>1</v>
      </c>
      <c r="E67" s="31">
        <f t="shared" si="12"/>
        <v>13983.050847457627</v>
      </c>
      <c r="F67" s="31">
        <f t="shared" si="13"/>
        <v>2516.9491525423728</v>
      </c>
      <c r="G67" s="6">
        <v>16500</v>
      </c>
      <c r="H67" s="14"/>
    </row>
    <row r="68" spans="1:11" x14ac:dyDescent="0.2">
      <c r="A68" s="4"/>
      <c r="B68" s="4"/>
      <c r="C68" s="4"/>
      <c r="D68" s="20"/>
      <c r="E68" s="4"/>
      <c r="F68" s="32"/>
      <c r="G68" s="4"/>
      <c r="H68" s="4"/>
    </row>
    <row r="69" spans="1:11" x14ac:dyDescent="0.2">
      <c r="A69" s="2"/>
      <c r="B69" s="2"/>
      <c r="C69" s="2"/>
      <c r="D69" s="22"/>
      <c r="E69" s="2"/>
      <c r="F69" s="34"/>
      <c r="G69" s="2"/>
      <c r="H69" s="2"/>
    </row>
    <row r="70" spans="1:11" x14ac:dyDescent="0.2">
      <c r="A70" s="36" t="s">
        <v>81</v>
      </c>
      <c r="B70" s="37"/>
      <c r="C70" s="6"/>
      <c r="D70" s="7"/>
      <c r="E70" s="6"/>
      <c r="F70" s="31"/>
      <c r="G70" s="6"/>
      <c r="H70" s="6"/>
    </row>
    <row r="71" spans="1:11" x14ac:dyDescent="0.2">
      <c r="A71" s="6">
        <v>1</v>
      </c>
      <c r="B71" s="6" t="s">
        <v>84</v>
      </c>
      <c r="C71" s="6" t="s">
        <v>91</v>
      </c>
      <c r="D71" s="7">
        <v>1</v>
      </c>
      <c r="E71" s="31">
        <f t="shared" ref="E71:E79" si="14">+G71*0.847457627118644</f>
        <v>9745.7627118644068</v>
      </c>
      <c r="F71" s="31">
        <f t="shared" ref="F71:F79" si="15">+E71*0.18</f>
        <v>1754.2372881355932</v>
      </c>
      <c r="G71" s="6">
        <v>11500</v>
      </c>
      <c r="H71" s="14"/>
    </row>
    <row r="72" spans="1:11" x14ac:dyDescent="0.2">
      <c r="A72" s="6">
        <v>2</v>
      </c>
      <c r="B72" s="6" t="s">
        <v>82</v>
      </c>
      <c r="C72" s="6" t="s">
        <v>92</v>
      </c>
      <c r="D72" s="7">
        <v>1</v>
      </c>
      <c r="E72" s="31">
        <f t="shared" si="14"/>
        <v>11440.677966101694</v>
      </c>
      <c r="F72" s="31">
        <f t="shared" si="15"/>
        <v>2059.3220338983047</v>
      </c>
      <c r="G72" s="6">
        <v>13500</v>
      </c>
      <c r="H72" s="14"/>
    </row>
    <row r="73" spans="1:11" x14ac:dyDescent="0.2">
      <c r="A73" s="6">
        <v>3</v>
      </c>
      <c r="B73" s="6" t="s">
        <v>83</v>
      </c>
      <c r="C73" s="6" t="s">
        <v>92</v>
      </c>
      <c r="D73" s="7">
        <v>1</v>
      </c>
      <c r="E73" s="31">
        <f t="shared" si="14"/>
        <v>11440.677966101694</v>
      </c>
      <c r="F73" s="31">
        <f t="shared" si="15"/>
        <v>2059.3220338983047</v>
      </c>
      <c r="G73" s="6">
        <v>13500</v>
      </c>
      <c r="H73" s="14"/>
    </row>
    <row r="74" spans="1:11" x14ac:dyDescent="0.2">
      <c r="A74" s="6">
        <v>4</v>
      </c>
      <c r="B74" s="6" t="s">
        <v>85</v>
      </c>
      <c r="C74" s="6" t="s">
        <v>93</v>
      </c>
      <c r="D74" s="7">
        <v>1</v>
      </c>
      <c r="E74" s="31">
        <f t="shared" si="14"/>
        <v>14830.508474576271</v>
      </c>
      <c r="F74" s="31">
        <f t="shared" si="15"/>
        <v>2669.4915254237285</v>
      </c>
      <c r="G74" s="6">
        <v>17500</v>
      </c>
      <c r="H74" s="14"/>
    </row>
    <row r="75" spans="1:11" x14ac:dyDescent="0.2">
      <c r="A75" s="6">
        <v>5</v>
      </c>
      <c r="B75" s="6" t="s">
        <v>86</v>
      </c>
      <c r="C75" s="6" t="s">
        <v>93</v>
      </c>
      <c r="D75" s="7">
        <v>1</v>
      </c>
      <c r="E75" s="31">
        <f t="shared" si="14"/>
        <v>14830.508474576271</v>
      </c>
      <c r="F75" s="31">
        <f t="shared" si="15"/>
        <v>2669.4915254237285</v>
      </c>
      <c r="G75" s="6">
        <v>17500</v>
      </c>
      <c r="H75" s="14"/>
      <c r="K75" t="s">
        <v>127</v>
      </c>
    </row>
    <row r="76" spans="1:11" x14ac:dyDescent="0.2">
      <c r="A76" s="6">
        <v>6</v>
      </c>
      <c r="B76" s="6" t="s">
        <v>87</v>
      </c>
      <c r="C76" s="6" t="s">
        <v>93</v>
      </c>
      <c r="D76" s="7">
        <v>1</v>
      </c>
      <c r="E76" s="31">
        <f t="shared" si="14"/>
        <v>14830.508474576271</v>
      </c>
      <c r="F76" s="31">
        <f t="shared" si="15"/>
        <v>2669.4915254237285</v>
      </c>
      <c r="G76" s="6">
        <v>17500</v>
      </c>
      <c r="H76" s="14"/>
    </row>
    <row r="77" spans="1:11" x14ac:dyDescent="0.2">
      <c r="A77" s="6">
        <v>7</v>
      </c>
      <c r="B77" s="6" t="s">
        <v>88</v>
      </c>
      <c r="C77" s="6" t="s">
        <v>94</v>
      </c>
      <c r="D77" s="7">
        <v>1</v>
      </c>
      <c r="E77" s="31">
        <f t="shared" si="14"/>
        <v>15677.966101694914</v>
      </c>
      <c r="F77" s="31">
        <f t="shared" si="15"/>
        <v>2822.0338983050842</v>
      </c>
      <c r="G77" s="6">
        <v>18500</v>
      </c>
      <c r="H77" s="14"/>
    </row>
    <row r="78" spans="1:11" x14ac:dyDescent="0.2">
      <c r="A78" s="6">
        <v>8</v>
      </c>
      <c r="B78" s="6" t="s">
        <v>89</v>
      </c>
      <c r="C78" s="6" t="s">
        <v>95</v>
      </c>
      <c r="D78" s="7">
        <v>1</v>
      </c>
      <c r="E78" s="31">
        <f t="shared" si="14"/>
        <v>11440.677966101694</v>
      </c>
      <c r="F78" s="31">
        <f t="shared" si="15"/>
        <v>2059.3220338983047</v>
      </c>
      <c r="G78" s="6">
        <v>13500</v>
      </c>
      <c r="H78" s="14"/>
    </row>
    <row r="79" spans="1:11" x14ac:dyDescent="0.2">
      <c r="A79" s="6">
        <v>9</v>
      </c>
      <c r="B79" s="6" t="s">
        <v>90</v>
      </c>
      <c r="C79" s="6" t="s">
        <v>96</v>
      </c>
      <c r="D79" s="7">
        <v>1</v>
      </c>
      <c r="E79" s="31">
        <f t="shared" si="14"/>
        <v>14830.508474576271</v>
      </c>
      <c r="F79" s="31">
        <f t="shared" si="15"/>
        <v>2669.4915254237285</v>
      </c>
      <c r="G79" s="6">
        <v>17500</v>
      </c>
      <c r="H79" s="14"/>
    </row>
    <row r="80" spans="1:11" x14ac:dyDescent="0.2">
      <c r="A80" s="4"/>
      <c r="B80" s="4"/>
      <c r="C80" s="4"/>
      <c r="D80" s="20"/>
      <c r="E80" s="4"/>
      <c r="F80" s="32"/>
      <c r="G80" s="4"/>
      <c r="H80" s="4"/>
    </row>
    <row r="81" spans="1:8" x14ac:dyDescent="0.2">
      <c r="A81" s="2"/>
      <c r="B81" s="2"/>
      <c r="C81" s="2"/>
      <c r="D81" s="22"/>
      <c r="E81" s="2"/>
      <c r="F81" s="34"/>
      <c r="G81" s="2"/>
      <c r="H81" s="2"/>
    </row>
    <row r="82" spans="1:8" x14ac:dyDescent="0.2">
      <c r="A82" s="36" t="s">
        <v>97</v>
      </c>
      <c r="B82" s="37"/>
      <c r="C82" s="6"/>
      <c r="D82" s="7"/>
      <c r="E82" s="6"/>
      <c r="F82" s="31"/>
      <c r="G82" s="6"/>
      <c r="H82" s="6"/>
    </row>
    <row r="83" spans="1:8" x14ac:dyDescent="0.2">
      <c r="A83" s="6">
        <v>1</v>
      </c>
      <c r="B83" s="6" t="s">
        <v>98</v>
      </c>
      <c r="C83" s="6" t="s">
        <v>99</v>
      </c>
      <c r="D83" s="7">
        <v>1</v>
      </c>
      <c r="E83" s="6">
        <v>1300</v>
      </c>
      <c r="F83" s="31">
        <f t="shared" ref="F83:F86" si="16">+E83*0.18</f>
        <v>234</v>
      </c>
      <c r="G83" s="6">
        <f>SUM(E83:F83)</f>
        <v>1534</v>
      </c>
      <c r="H83" s="6"/>
    </row>
    <row r="84" spans="1:8" x14ac:dyDescent="0.2">
      <c r="A84" s="6">
        <v>2</v>
      </c>
      <c r="B84" s="6" t="s">
        <v>98</v>
      </c>
      <c r="C84" s="6" t="s">
        <v>100</v>
      </c>
      <c r="D84" s="7">
        <v>1</v>
      </c>
      <c r="E84" s="6">
        <v>1500</v>
      </c>
      <c r="F84" s="31">
        <f t="shared" si="16"/>
        <v>270</v>
      </c>
      <c r="G84" s="6">
        <f t="shared" ref="G84:G86" si="17">SUM(E84:F84)</f>
        <v>1770</v>
      </c>
      <c r="H84" s="6"/>
    </row>
    <row r="85" spans="1:8" x14ac:dyDescent="0.2">
      <c r="A85" s="6">
        <v>3</v>
      </c>
      <c r="B85" s="6" t="s">
        <v>101</v>
      </c>
      <c r="C85" s="6" t="s">
        <v>100</v>
      </c>
      <c r="D85" s="7">
        <v>1</v>
      </c>
      <c r="E85" s="6">
        <v>1900</v>
      </c>
      <c r="F85" s="31">
        <f t="shared" si="16"/>
        <v>342</v>
      </c>
      <c r="G85" s="6">
        <f t="shared" si="17"/>
        <v>2242</v>
      </c>
      <c r="H85" s="6"/>
    </row>
    <row r="86" spans="1:8" x14ac:dyDescent="0.2">
      <c r="A86" s="4">
        <v>4</v>
      </c>
      <c r="B86" s="4" t="s">
        <v>102</v>
      </c>
      <c r="C86" s="4" t="s">
        <v>100</v>
      </c>
      <c r="D86" s="20">
        <v>1</v>
      </c>
      <c r="E86" s="4">
        <v>1600</v>
      </c>
      <c r="F86" s="31">
        <f t="shared" si="16"/>
        <v>288</v>
      </c>
      <c r="G86" s="6">
        <f t="shared" si="17"/>
        <v>1888</v>
      </c>
      <c r="H86" s="4"/>
    </row>
    <row r="87" spans="1:8" x14ac:dyDescent="0.2">
      <c r="A87" s="2"/>
      <c r="B87" s="2"/>
      <c r="C87" s="2"/>
      <c r="D87" s="22"/>
      <c r="E87" s="2"/>
      <c r="F87" s="34"/>
      <c r="G87" s="2"/>
      <c r="H87" s="2"/>
    </row>
    <row r="88" spans="1:8" x14ac:dyDescent="0.2">
      <c r="A88" s="36" t="s">
        <v>103</v>
      </c>
      <c r="B88" s="37"/>
      <c r="C88" s="6"/>
      <c r="D88" s="7"/>
      <c r="E88" s="6"/>
      <c r="F88" s="31"/>
      <c r="G88" s="6"/>
      <c r="H88" s="6"/>
    </row>
    <row r="89" spans="1:8" x14ac:dyDescent="0.2">
      <c r="A89" s="6">
        <v>1</v>
      </c>
      <c r="B89" s="6" t="s">
        <v>104</v>
      </c>
      <c r="C89" s="6" t="s">
        <v>112</v>
      </c>
      <c r="D89" s="7">
        <v>1</v>
      </c>
      <c r="E89" s="6">
        <v>63559</v>
      </c>
      <c r="F89" s="31">
        <v>11441</v>
      </c>
      <c r="G89" s="14">
        <v>76000</v>
      </c>
      <c r="H89" s="14"/>
    </row>
    <row r="90" spans="1:8" x14ac:dyDescent="0.2">
      <c r="A90" s="6">
        <v>2</v>
      </c>
      <c r="B90" s="6" t="s">
        <v>105</v>
      </c>
      <c r="C90" s="6" t="s">
        <v>112</v>
      </c>
      <c r="D90" s="7">
        <v>1</v>
      </c>
      <c r="E90" s="6">
        <v>80508</v>
      </c>
      <c r="F90" s="31">
        <v>14492</v>
      </c>
      <c r="G90" s="14">
        <v>96000</v>
      </c>
      <c r="H90" s="14"/>
    </row>
    <row r="91" spans="1:8" x14ac:dyDescent="0.2">
      <c r="A91" s="6">
        <v>3</v>
      </c>
      <c r="B91" s="6" t="s">
        <v>106</v>
      </c>
      <c r="C91" s="6" t="s">
        <v>111</v>
      </c>
      <c r="D91" s="7">
        <v>1</v>
      </c>
      <c r="E91" s="6">
        <v>80508</v>
      </c>
      <c r="F91" s="31">
        <v>14492</v>
      </c>
      <c r="G91" s="14">
        <v>96000</v>
      </c>
      <c r="H91" s="14"/>
    </row>
    <row r="92" spans="1:8" x14ac:dyDescent="0.2">
      <c r="A92" s="6">
        <v>4</v>
      </c>
      <c r="B92" s="6" t="s">
        <v>107</v>
      </c>
      <c r="C92" s="6" t="s">
        <v>111</v>
      </c>
      <c r="D92" s="7">
        <v>1</v>
      </c>
      <c r="E92" s="6">
        <v>97458</v>
      </c>
      <c r="F92" s="31">
        <v>17542</v>
      </c>
      <c r="G92" s="14">
        <v>116000</v>
      </c>
      <c r="H92" s="14"/>
    </row>
    <row r="93" spans="1:8" x14ac:dyDescent="0.2">
      <c r="A93" s="6">
        <v>5</v>
      </c>
      <c r="B93" s="6" t="s">
        <v>108</v>
      </c>
      <c r="C93" s="6" t="s">
        <v>110</v>
      </c>
      <c r="D93" s="7">
        <v>1</v>
      </c>
      <c r="E93" s="6">
        <v>97458</v>
      </c>
      <c r="F93" s="31">
        <v>17542</v>
      </c>
      <c r="G93" s="14">
        <v>116000</v>
      </c>
      <c r="H93" s="14"/>
    </row>
    <row r="94" spans="1:8" x14ac:dyDescent="0.2">
      <c r="A94" s="4">
        <v>6</v>
      </c>
      <c r="B94" s="4" t="s">
        <v>109</v>
      </c>
      <c r="C94" s="4" t="s">
        <v>110</v>
      </c>
      <c r="D94" s="20">
        <v>1</v>
      </c>
      <c r="E94" s="4">
        <v>122881</v>
      </c>
      <c r="F94" s="32">
        <v>22119</v>
      </c>
      <c r="G94" s="24">
        <v>146000</v>
      </c>
      <c r="H94" s="24"/>
    </row>
    <row r="95" spans="1:8" x14ac:dyDescent="0.2">
      <c r="A95" s="2"/>
      <c r="B95" s="2"/>
      <c r="C95" s="2"/>
      <c r="D95" s="22"/>
      <c r="E95" s="2"/>
      <c r="F95" s="34"/>
      <c r="G95" s="2"/>
      <c r="H95" s="2"/>
    </row>
    <row r="96" spans="1:8" x14ac:dyDescent="0.2">
      <c r="A96" s="36" t="s">
        <v>130</v>
      </c>
      <c r="B96" s="37"/>
      <c r="C96" s="6"/>
      <c r="D96" s="7"/>
      <c r="E96" s="6"/>
      <c r="F96" s="6"/>
      <c r="G96" s="6"/>
      <c r="H96" s="6"/>
    </row>
    <row r="97" spans="1:8" x14ac:dyDescent="0.2">
      <c r="A97" s="6">
        <v>1</v>
      </c>
      <c r="B97" s="6" t="s">
        <v>131</v>
      </c>
      <c r="C97" s="6"/>
      <c r="D97" s="7">
        <v>1</v>
      </c>
      <c r="E97" s="31">
        <f t="shared" ref="E97:E98" si="18">+G97*0.847457627118644</f>
        <v>22033.898305084746</v>
      </c>
      <c r="F97" s="31">
        <f t="shared" ref="F97:F98" si="19">+E97*0.18</f>
        <v>3966.101694915254</v>
      </c>
      <c r="G97" s="31">
        <v>26000</v>
      </c>
      <c r="H97" s="6"/>
    </row>
    <row r="98" spans="1:8" x14ac:dyDescent="0.2">
      <c r="A98" s="6">
        <v>2</v>
      </c>
      <c r="B98" s="6" t="s">
        <v>132</v>
      </c>
      <c r="C98" s="6"/>
      <c r="D98" s="7">
        <v>1</v>
      </c>
      <c r="E98" s="31">
        <f t="shared" si="18"/>
        <v>6779.6610169491523</v>
      </c>
      <c r="F98" s="31">
        <f t="shared" si="19"/>
        <v>1220.3389830508474</v>
      </c>
      <c r="G98" s="31">
        <v>8000</v>
      </c>
      <c r="H98" s="6"/>
    </row>
  </sheetData>
  <mergeCells count="18">
    <mergeCell ref="B2:G2"/>
    <mergeCell ref="B28:H28"/>
    <mergeCell ref="A30:B30"/>
    <mergeCell ref="B49:H49"/>
    <mergeCell ref="A51:B51"/>
    <mergeCell ref="A16:H16"/>
    <mergeCell ref="A96:B96"/>
    <mergeCell ref="B61:H61"/>
    <mergeCell ref="A17:H17"/>
    <mergeCell ref="A82:B82"/>
    <mergeCell ref="A88:B88"/>
    <mergeCell ref="A70:B70"/>
    <mergeCell ref="A63:B63"/>
    <mergeCell ref="A19:B19"/>
    <mergeCell ref="A27:H27"/>
    <mergeCell ref="B47:H47"/>
    <mergeCell ref="B48:H48"/>
    <mergeCell ref="B60:H60"/>
  </mergeCells>
  <pageMargins left="0.25" right="0.25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19"/>
  <sheetViews>
    <sheetView tabSelected="1" topLeftCell="B6" workbookViewId="0">
      <selection activeCell="I16" sqref="I16"/>
    </sheetView>
  </sheetViews>
  <sheetFormatPr defaultRowHeight="15" x14ac:dyDescent="0.2"/>
  <cols>
    <col min="1" max="1" width="5.6484375" customWidth="1"/>
    <col min="2" max="2" width="25.15234375" bestFit="1" customWidth="1"/>
    <col min="3" max="3" width="16.0078125" bestFit="1" customWidth="1"/>
    <col min="4" max="4" width="9.81640625" customWidth="1"/>
    <col min="5" max="5" width="12.77734375" bestFit="1" customWidth="1"/>
    <col min="6" max="6" width="7.80078125" customWidth="1"/>
    <col min="7" max="7" width="12.23828125" bestFit="1" customWidth="1"/>
    <col min="8" max="8" width="18.5625" bestFit="1" customWidth="1"/>
  </cols>
  <sheetData>
    <row r="1" spans="1:8" ht="21" x14ac:dyDescent="0.3">
      <c r="C1" s="1" t="s">
        <v>8</v>
      </c>
      <c r="D1" s="16"/>
    </row>
    <row r="2" spans="1:8" x14ac:dyDescent="0.2">
      <c r="B2" s="39" t="s">
        <v>119</v>
      </c>
      <c r="C2" s="39"/>
      <c r="D2" s="39"/>
      <c r="E2" s="39"/>
      <c r="F2" s="39"/>
      <c r="G2" s="39"/>
    </row>
    <row r="3" spans="1:8" ht="16.5" x14ac:dyDescent="0.25">
      <c r="A3" s="8" t="s">
        <v>0</v>
      </c>
      <c r="B3" s="9" t="s">
        <v>1</v>
      </c>
      <c r="C3" s="10" t="s">
        <v>2</v>
      </c>
      <c r="D3" s="17" t="s">
        <v>31</v>
      </c>
      <c r="E3" s="9" t="s">
        <v>63</v>
      </c>
      <c r="F3" s="9" t="s">
        <v>4</v>
      </c>
      <c r="G3" s="10" t="s">
        <v>64</v>
      </c>
      <c r="H3" s="9" t="s">
        <v>6</v>
      </c>
    </row>
    <row r="4" spans="1:8" ht="16.5" x14ac:dyDescent="0.25">
      <c r="A4" s="11"/>
      <c r="B4" s="12"/>
      <c r="C4" s="13"/>
      <c r="D4" s="18" t="s">
        <v>32</v>
      </c>
      <c r="E4" s="12" t="s">
        <v>3</v>
      </c>
      <c r="F4" s="23">
        <v>0.18</v>
      </c>
      <c r="G4" s="13" t="s">
        <v>5</v>
      </c>
      <c r="H4" s="12" t="s">
        <v>7</v>
      </c>
    </row>
    <row r="5" spans="1:8" x14ac:dyDescent="0.2">
      <c r="A5" s="36" t="s">
        <v>10</v>
      </c>
      <c r="B5" s="37"/>
      <c r="C5" s="5"/>
      <c r="D5" s="19"/>
      <c r="E5" s="5"/>
      <c r="F5" s="5"/>
      <c r="G5" s="5"/>
      <c r="H5" s="5"/>
    </row>
    <row r="6" spans="1:8" x14ac:dyDescent="0.2">
      <c r="A6" s="6">
        <v>1</v>
      </c>
      <c r="B6" s="6" t="s">
        <v>11</v>
      </c>
      <c r="C6" s="6" t="s">
        <v>12</v>
      </c>
      <c r="D6" s="7">
        <v>50</v>
      </c>
      <c r="E6" s="31">
        <f t="shared" ref="E6:E15" si="0">+G6*0.847457627118644</f>
        <v>533.89830508474574</v>
      </c>
      <c r="F6" s="31">
        <f t="shared" ref="F6:F15" si="1">+E6*0.18</f>
        <v>96.101694915254228</v>
      </c>
      <c r="G6" s="35">
        <f t="shared" ref="G6:G15" si="2">+H6/D6</f>
        <v>630</v>
      </c>
      <c r="H6" s="14">
        <v>31500</v>
      </c>
    </row>
    <row r="7" spans="1:8" x14ac:dyDescent="0.2">
      <c r="A7" s="6">
        <v>2</v>
      </c>
      <c r="B7" s="6" t="s">
        <v>13</v>
      </c>
      <c r="C7" s="6" t="s">
        <v>12</v>
      </c>
      <c r="D7" s="7">
        <v>50</v>
      </c>
      <c r="E7" s="31">
        <f t="shared" si="0"/>
        <v>593.22033898305085</v>
      </c>
      <c r="F7" s="31">
        <f t="shared" si="1"/>
        <v>106.77966101694915</v>
      </c>
      <c r="G7" s="35">
        <f t="shared" si="2"/>
        <v>700</v>
      </c>
      <c r="H7" s="14">
        <v>35000</v>
      </c>
    </row>
    <row r="8" spans="1:8" x14ac:dyDescent="0.2">
      <c r="A8" s="6">
        <v>3</v>
      </c>
      <c r="B8" s="6" t="s">
        <v>15</v>
      </c>
      <c r="C8" s="6" t="s">
        <v>14</v>
      </c>
      <c r="D8" s="7">
        <v>50</v>
      </c>
      <c r="E8" s="31">
        <f t="shared" si="0"/>
        <v>437.79661016949154</v>
      </c>
      <c r="F8" s="31">
        <f t="shared" si="1"/>
        <v>78.803389830508479</v>
      </c>
      <c r="G8" s="35">
        <f t="shared" si="2"/>
        <v>516.6</v>
      </c>
      <c r="H8" s="14">
        <v>25830</v>
      </c>
    </row>
    <row r="9" spans="1:8" x14ac:dyDescent="0.2">
      <c r="A9" s="6">
        <v>4</v>
      </c>
      <c r="B9" s="6" t="s">
        <v>16</v>
      </c>
      <c r="C9" s="6" t="s">
        <v>33</v>
      </c>
      <c r="D9" s="7">
        <v>48</v>
      </c>
      <c r="E9" s="31">
        <f t="shared" si="0"/>
        <v>556.1440677966101</v>
      </c>
      <c r="F9" s="31">
        <f t="shared" si="1"/>
        <v>100.10593220338981</v>
      </c>
      <c r="G9" s="35">
        <f t="shared" si="2"/>
        <v>656.25</v>
      </c>
      <c r="H9" s="14">
        <v>31500</v>
      </c>
    </row>
    <row r="10" spans="1:8" x14ac:dyDescent="0.2">
      <c r="A10" s="6">
        <v>5</v>
      </c>
      <c r="B10" s="6" t="s">
        <v>17</v>
      </c>
      <c r="C10" s="6" t="s">
        <v>33</v>
      </c>
      <c r="D10" s="7">
        <v>48</v>
      </c>
      <c r="E10" s="31">
        <f t="shared" si="0"/>
        <v>617.93785310734461</v>
      </c>
      <c r="F10" s="31">
        <f t="shared" si="1"/>
        <v>111.22881355932202</v>
      </c>
      <c r="G10" s="35">
        <f t="shared" si="2"/>
        <v>729.16666666666663</v>
      </c>
      <c r="H10" s="14">
        <v>35000</v>
      </c>
    </row>
    <row r="11" spans="1:8" x14ac:dyDescent="0.2">
      <c r="A11" s="6">
        <v>6</v>
      </c>
      <c r="B11" s="6" t="s">
        <v>18</v>
      </c>
      <c r="C11" s="6" t="s">
        <v>34</v>
      </c>
      <c r="D11" s="7">
        <v>48</v>
      </c>
      <c r="E11" s="31">
        <f t="shared" si="0"/>
        <v>456.03813559322032</v>
      </c>
      <c r="F11" s="31">
        <f t="shared" si="1"/>
        <v>82.086864406779654</v>
      </c>
      <c r="G11" s="35">
        <f t="shared" si="2"/>
        <v>538.125</v>
      </c>
      <c r="H11" s="14">
        <v>25830</v>
      </c>
    </row>
    <row r="12" spans="1:8" x14ac:dyDescent="0.2">
      <c r="A12" s="6">
        <v>7</v>
      </c>
      <c r="B12" s="6" t="s">
        <v>19</v>
      </c>
      <c r="C12" s="6" t="s">
        <v>35</v>
      </c>
      <c r="D12" s="7">
        <v>37</v>
      </c>
      <c r="E12" s="31">
        <f t="shared" si="0"/>
        <v>721.48419606046718</v>
      </c>
      <c r="F12" s="31">
        <f t="shared" si="1"/>
        <v>129.86715529088409</v>
      </c>
      <c r="G12" s="35">
        <f t="shared" si="2"/>
        <v>851.35135135135135</v>
      </c>
      <c r="H12" s="14">
        <v>31500</v>
      </c>
    </row>
    <row r="13" spans="1:8" x14ac:dyDescent="0.2">
      <c r="A13" s="6">
        <v>8</v>
      </c>
      <c r="B13" s="6" t="s">
        <v>20</v>
      </c>
      <c r="C13" s="6" t="s">
        <v>35</v>
      </c>
      <c r="D13" s="7">
        <v>37</v>
      </c>
      <c r="E13" s="31">
        <f t="shared" si="0"/>
        <v>801.64910673385248</v>
      </c>
      <c r="F13" s="31">
        <f t="shared" si="1"/>
        <v>144.29683921209343</v>
      </c>
      <c r="G13" s="35">
        <f t="shared" si="2"/>
        <v>945.94594594594594</v>
      </c>
      <c r="H13" s="14">
        <v>35000</v>
      </c>
    </row>
    <row r="14" spans="1:8" x14ac:dyDescent="0.2">
      <c r="A14" s="6">
        <v>9</v>
      </c>
      <c r="B14" s="6" t="s">
        <v>21</v>
      </c>
      <c r="C14" s="6" t="s">
        <v>36</v>
      </c>
      <c r="D14" s="7">
        <v>37</v>
      </c>
      <c r="E14" s="31">
        <f t="shared" si="0"/>
        <v>591.61704076958313</v>
      </c>
      <c r="F14" s="31">
        <f t="shared" si="1"/>
        <v>106.49106733852496</v>
      </c>
      <c r="G14" s="35">
        <f t="shared" si="2"/>
        <v>698.10810810810813</v>
      </c>
      <c r="H14" s="14">
        <v>25830</v>
      </c>
    </row>
    <row r="15" spans="1:8" x14ac:dyDescent="0.2">
      <c r="A15" s="6">
        <v>10</v>
      </c>
      <c r="B15" s="6" t="s">
        <v>29</v>
      </c>
      <c r="C15" s="6" t="s">
        <v>37</v>
      </c>
      <c r="D15" s="7">
        <v>33</v>
      </c>
      <c r="E15" s="31">
        <f t="shared" si="0"/>
        <v>663.32819722650231</v>
      </c>
      <c r="F15" s="31">
        <f t="shared" si="1"/>
        <v>119.39907550077041</v>
      </c>
      <c r="G15" s="35">
        <f t="shared" si="2"/>
        <v>782.72727272727275</v>
      </c>
      <c r="H15" s="14">
        <v>25830</v>
      </c>
    </row>
    <row r="16" spans="1:8" x14ac:dyDescent="0.2">
      <c r="A16" s="40" t="s">
        <v>125</v>
      </c>
      <c r="B16" s="40"/>
      <c r="C16" s="40"/>
      <c r="D16" s="40"/>
      <c r="E16" s="40"/>
      <c r="F16" s="40"/>
      <c r="G16" s="40"/>
      <c r="H16" s="40"/>
    </row>
    <row r="17" spans="1:8" x14ac:dyDescent="0.2">
      <c r="A17" s="38" t="s">
        <v>126</v>
      </c>
      <c r="B17" s="38"/>
      <c r="C17" s="38"/>
      <c r="D17" s="38"/>
      <c r="E17" s="38"/>
      <c r="F17" s="38"/>
      <c r="G17" s="38"/>
      <c r="H17" s="38"/>
    </row>
    <row r="18" spans="1:8" x14ac:dyDescent="0.2">
      <c r="D18" s="15"/>
    </row>
    <row r="19" spans="1:8" x14ac:dyDescent="0.2">
      <c r="A19" s="36" t="s">
        <v>22</v>
      </c>
      <c r="B19" s="37"/>
      <c r="C19" s="6"/>
      <c r="D19" s="7"/>
      <c r="E19" s="6"/>
      <c r="F19" s="6"/>
      <c r="G19" s="6"/>
      <c r="H19" s="6"/>
    </row>
    <row r="20" spans="1:8" x14ac:dyDescent="0.2">
      <c r="A20" s="6">
        <v>1</v>
      </c>
      <c r="B20" s="6" t="s">
        <v>23</v>
      </c>
      <c r="C20" s="6"/>
      <c r="D20" s="7">
        <v>20</v>
      </c>
      <c r="E20" s="31">
        <f t="shared" ref="E20:E23" si="3">+G20*0.847457627118644</f>
        <v>1250</v>
      </c>
      <c r="F20" s="31">
        <f t="shared" ref="F20:F23" si="4">+E20*0.18</f>
        <v>225</v>
      </c>
      <c r="G20" s="35">
        <f>+H20/D20</f>
        <v>1475</v>
      </c>
      <c r="H20" s="14">
        <v>29500</v>
      </c>
    </row>
    <row r="21" spans="1:8" x14ac:dyDescent="0.2">
      <c r="A21" s="6">
        <v>2</v>
      </c>
      <c r="B21" s="6" t="s">
        <v>24</v>
      </c>
      <c r="C21" s="6"/>
      <c r="D21" s="7">
        <v>30</v>
      </c>
      <c r="E21" s="31">
        <f t="shared" si="3"/>
        <v>833.33333333333337</v>
      </c>
      <c r="F21" s="31">
        <f t="shared" si="4"/>
        <v>150</v>
      </c>
      <c r="G21" s="35">
        <f t="shared" ref="G21:G23" si="5">+H21/D21</f>
        <v>983.33333333333337</v>
      </c>
      <c r="H21" s="14">
        <v>29500</v>
      </c>
    </row>
    <row r="22" spans="1:8" x14ac:dyDescent="0.2">
      <c r="A22" s="6">
        <v>3</v>
      </c>
      <c r="B22" s="6" t="s">
        <v>25</v>
      </c>
      <c r="C22" s="6"/>
      <c r="D22" s="7">
        <v>27</v>
      </c>
      <c r="E22" s="31">
        <f t="shared" si="3"/>
        <v>925.92592592592587</v>
      </c>
      <c r="F22" s="31">
        <f t="shared" si="4"/>
        <v>166.66666666666666</v>
      </c>
      <c r="G22" s="35">
        <f t="shared" si="5"/>
        <v>1092.5925925925926</v>
      </c>
      <c r="H22" s="14">
        <v>29500</v>
      </c>
    </row>
    <row r="23" spans="1:8" x14ac:dyDescent="0.2">
      <c r="A23" s="6">
        <v>4</v>
      </c>
      <c r="B23" s="6" t="s">
        <v>26</v>
      </c>
      <c r="C23" s="6"/>
      <c r="D23" s="7">
        <v>28</v>
      </c>
      <c r="E23" s="31">
        <f t="shared" si="3"/>
        <v>892.85714285714289</v>
      </c>
      <c r="F23" s="31">
        <f t="shared" si="4"/>
        <v>160.71428571428572</v>
      </c>
      <c r="G23" s="35">
        <f t="shared" si="5"/>
        <v>1053.5714285714287</v>
      </c>
      <c r="H23" s="14">
        <v>29500</v>
      </c>
    </row>
    <row r="24" spans="1:8" x14ac:dyDescent="0.2">
      <c r="A24" s="4"/>
      <c r="B24" s="4"/>
      <c r="C24" s="4"/>
      <c r="D24" s="20"/>
      <c r="E24" s="31"/>
      <c r="F24" s="31"/>
      <c r="G24" s="35"/>
      <c r="H24" s="14"/>
    </row>
    <row r="25" spans="1:8" x14ac:dyDescent="0.2">
      <c r="A25" s="40" t="s">
        <v>125</v>
      </c>
      <c r="B25" s="40"/>
      <c r="C25" s="40"/>
      <c r="D25" s="40"/>
      <c r="E25" s="40"/>
      <c r="F25" s="40"/>
      <c r="G25" s="40"/>
      <c r="H25" s="40"/>
    </row>
    <row r="26" spans="1:8" x14ac:dyDescent="0.2">
      <c r="B26" s="38" t="s">
        <v>128</v>
      </c>
      <c r="C26" s="38"/>
      <c r="D26" s="38"/>
      <c r="E26" s="38"/>
      <c r="F26" s="38"/>
      <c r="G26" s="38"/>
      <c r="H26" s="38"/>
    </row>
    <row r="27" spans="1:8" x14ac:dyDescent="0.2">
      <c r="A27" s="3"/>
      <c r="B27" s="3"/>
      <c r="C27" s="3"/>
      <c r="D27" s="21"/>
      <c r="E27" s="3"/>
      <c r="F27" s="3"/>
      <c r="G27" s="3"/>
      <c r="H27" s="3"/>
    </row>
    <row r="28" spans="1:8" x14ac:dyDescent="0.2">
      <c r="A28" s="36" t="s">
        <v>9</v>
      </c>
      <c r="B28" s="37"/>
      <c r="C28" s="5"/>
      <c r="D28" s="19"/>
      <c r="E28" s="5"/>
      <c r="F28" s="5"/>
      <c r="G28" s="5"/>
      <c r="H28" s="5"/>
    </row>
    <row r="29" spans="1:8" x14ac:dyDescent="0.2">
      <c r="A29" s="6">
        <v>1</v>
      </c>
      <c r="B29" s="6" t="s">
        <v>38</v>
      </c>
      <c r="C29" s="6" t="s">
        <v>39</v>
      </c>
      <c r="D29" s="7">
        <v>1</v>
      </c>
      <c r="E29" s="31">
        <f t="shared" ref="E29:E30" si="6">+G29*0.847457627118644</f>
        <v>13983.050847457627</v>
      </c>
      <c r="F29" s="31">
        <f t="shared" ref="F29:F30" si="7">+E29*0.18</f>
        <v>2516.9491525423728</v>
      </c>
      <c r="G29" s="31">
        <v>16500</v>
      </c>
      <c r="H29" s="14">
        <v>16500</v>
      </c>
    </row>
    <row r="30" spans="1:8" x14ac:dyDescent="0.2">
      <c r="A30" s="6">
        <v>2</v>
      </c>
      <c r="B30" s="6" t="s">
        <v>40</v>
      </c>
      <c r="C30" s="6" t="s">
        <v>41</v>
      </c>
      <c r="D30" s="7">
        <v>3</v>
      </c>
      <c r="E30" s="31">
        <f t="shared" si="6"/>
        <v>9180.7909604519773</v>
      </c>
      <c r="F30" s="31">
        <f t="shared" si="7"/>
        <v>1652.542372881356</v>
      </c>
      <c r="G30" s="31">
        <f>+H30/D30</f>
        <v>10833.333333333334</v>
      </c>
      <c r="H30" s="14">
        <v>32500</v>
      </c>
    </row>
    <row r="31" spans="1:8" x14ac:dyDescent="0.2">
      <c r="A31" s="6">
        <v>3</v>
      </c>
      <c r="B31" s="6" t="s">
        <v>43</v>
      </c>
      <c r="C31" s="6" t="s">
        <v>44</v>
      </c>
      <c r="D31" s="7">
        <v>6</v>
      </c>
      <c r="E31" s="31">
        <f t="shared" ref="E31:E46" si="8">+G31*0.847457627118644</f>
        <v>3601.694915254237</v>
      </c>
      <c r="F31" s="31">
        <f t="shared" ref="F31:F46" si="9">+E31*0.18</f>
        <v>648.30508474576266</v>
      </c>
      <c r="G31" s="31">
        <f t="shared" ref="G31:G46" si="10">+H31/D31</f>
        <v>4250</v>
      </c>
      <c r="H31" s="14">
        <v>25500</v>
      </c>
    </row>
    <row r="32" spans="1:8" x14ac:dyDescent="0.2">
      <c r="A32" s="6">
        <v>7</v>
      </c>
      <c r="B32" s="6" t="s">
        <v>47</v>
      </c>
      <c r="C32" s="6" t="s">
        <v>52</v>
      </c>
      <c r="D32" s="7">
        <v>6</v>
      </c>
      <c r="E32" s="31">
        <f t="shared" si="8"/>
        <v>3601.694915254237</v>
      </c>
      <c r="F32" s="31">
        <f t="shared" si="9"/>
        <v>648.30508474576266</v>
      </c>
      <c r="G32" s="31">
        <f t="shared" si="10"/>
        <v>4250</v>
      </c>
      <c r="H32" s="14">
        <v>25500</v>
      </c>
    </row>
    <row r="33" spans="1:8" x14ac:dyDescent="0.2">
      <c r="A33" s="6">
        <v>8</v>
      </c>
      <c r="B33" s="6" t="s">
        <v>48</v>
      </c>
      <c r="C33" s="6" t="s">
        <v>52</v>
      </c>
      <c r="D33" s="7">
        <v>6</v>
      </c>
      <c r="E33" s="31">
        <f t="shared" si="8"/>
        <v>3601.694915254237</v>
      </c>
      <c r="F33" s="31">
        <f t="shared" si="9"/>
        <v>648.30508474576266</v>
      </c>
      <c r="G33" s="31">
        <f t="shared" si="10"/>
        <v>4250</v>
      </c>
      <c r="H33" s="14">
        <v>25500</v>
      </c>
    </row>
    <row r="34" spans="1:8" x14ac:dyDescent="0.2">
      <c r="A34" s="6">
        <v>9</v>
      </c>
      <c r="B34" s="6" t="s">
        <v>49</v>
      </c>
      <c r="C34" s="6" t="s">
        <v>52</v>
      </c>
      <c r="D34" s="7">
        <v>6</v>
      </c>
      <c r="E34" s="31">
        <f t="shared" si="8"/>
        <v>3601.694915254237</v>
      </c>
      <c r="F34" s="31">
        <f t="shared" si="9"/>
        <v>648.30508474576266</v>
      </c>
      <c r="G34" s="31">
        <f t="shared" si="10"/>
        <v>4250</v>
      </c>
      <c r="H34" s="14">
        <v>25500</v>
      </c>
    </row>
    <row r="35" spans="1:8" x14ac:dyDescent="0.2">
      <c r="A35" s="6">
        <v>10</v>
      </c>
      <c r="B35" s="6" t="s">
        <v>50</v>
      </c>
      <c r="C35" s="6" t="s">
        <v>52</v>
      </c>
      <c r="D35" s="7">
        <v>6</v>
      </c>
      <c r="E35" s="31">
        <f t="shared" si="8"/>
        <v>3601.694915254237</v>
      </c>
      <c r="F35" s="31">
        <f t="shared" si="9"/>
        <v>648.30508474576266</v>
      </c>
      <c r="G35" s="31">
        <f t="shared" si="10"/>
        <v>4250</v>
      </c>
      <c r="H35" s="14">
        <v>25500</v>
      </c>
    </row>
    <row r="36" spans="1:8" x14ac:dyDescent="0.2">
      <c r="A36" s="6">
        <v>11</v>
      </c>
      <c r="B36" s="6" t="s">
        <v>120</v>
      </c>
      <c r="C36" s="6" t="s">
        <v>52</v>
      </c>
      <c r="D36" s="7">
        <v>6</v>
      </c>
      <c r="E36" s="31">
        <f t="shared" si="8"/>
        <v>3601.694915254237</v>
      </c>
      <c r="F36" s="31">
        <f t="shared" si="9"/>
        <v>648.30508474576266</v>
      </c>
      <c r="G36" s="31">
        <f t="shared" si="10"/>
        <v>4250</v>
      </c>
      <c r="H36" s="14">
        <v>25500</v>
      </c>
    </row>
    <row r="37" spans="1:8" x14ac:dyDescent="0.2">
      <c r="A37" s="6">
        <v>12</v>
      </c>
      <c r="B37" s="6" t="s">
        <v>121</v>
      </c>
      <c r="C37" s="6" t="s">
        <v>52</v>
      </c>
      <c r="D37" s="7">
        <v>6</v>
      </c>
      <c r="E37" s="31">
        <f t="shared" si="8"/>
        <v>3601.694915254237</v>
      </c>
      <c r="F37" s="31">
        <f t="shared" si="9"/>
        <v>648.30508474576266</v>
      </c>
      <c r="G37" s="31">
        <f t="shared" si="10"/>
        <v>4250</v>
      </c>
      <c r="H37" s="14">
        <v>25500</v>
      </c>
    </row>
    <row r="38" spans="1:8" x14ac:dyDescent="0.2">
      <c r="A38" s="6">
        <v>13</v>
      </c>
      <c r="B38" s="6" t="s">
        <v>122</v>
      </c>
      <c r="C38" s="6" t="s">
        <v>52</v>
      </c>
      <c r="D38" s="7">
        <v>6</v>
      </c>
      <c r="E38" s="31">
        <f t="shared" si="8"/>
        <v>3601.694915254237</v>
      </c>
      <c r="F38" s="31">
        <f t="shared" si="9"/>
        <v>648.30508474576266</v>
      </c>
      <c r="G38" s="31">
        <f t="shared" si="10"/>
        <v>4250</v>
      </c>
      <c r="H38" s="14">
        <v>25500</v>
      </c>
    </row>
    <row r="39" spans="1:8" x14ac:dyDescent="0.2">
      <c r="A39" s="6">
        <v>14</v>
      </c>
      <c r="B39" s="6" t="s">
        <v>123</v>
      </c>
      <c r="C39" s="6" t="s">
        <v>52</v>
      </c>
      <c r="D39" s="7">
        <v>6</v>
      </c>
      <c r="E39" s="31">
        <f t="shared" si="8"/>
        <v>3601.694915254237</v>
      </c>
      <c r="F39" s="31">
        <f t="shared" si="9"/>
        <v>648.30508474576266</v>
      </c>
      <c r="G39" s="31">
        <f t="shared" si="10"/>
        <v>4250</v>
      </c>
      <c r="H39" s="14">
        <v>25500</v>
      </c>
    </row>
    <row r="40" spans="1:8" x14ac:dyDescent="0.2">
      <c r="A40" s="6">
        <v>15</v>
      </c>
      <c r="B40" s="6" t="s">
        <v>124</v>
      </c>
      <c r="C40" s="6" t="s">
        <v>52</v>
      </c>
      <c r="D40" s="7">
        <v>6</v>
      </c>
      <c r="E40" s="31">
        <f t="shared" si="8"/>
        <v>3601.694915254237</v>
      </c>
      <c r="F40" s="31">
        <f t="shared" si="9"/>
        <v>648.30508474576266</v>
      </c>
      <c r="G40" s="31">
        <f t="shared" si="10"/>
        <v>4250</v>
      </c>
      <c r="H40" s="14">
        <v>25500</v>
      </c>
    </row>
    <row r="41" spans="1:8" x14ac:dyDescent="0.2">
      <c r="A41" s="6">
        <v>11</v>
      </c>
      <c r="B41" s="6" t="s">
        <v>55</v>
      </c>
      <c r="C41" s="6" t="s">
        <v>60</v>
      </c>
      <c r="D41" s="7">
        <v>8</v>
      </c>
      <c r="E41" s="31">
        <f t="shared" si="8"/>
        <v>2701.2711864406779</v>
      </c>
      <c r="F41" s="31">
        <f t="shared" si="9"/>
        <v>486.22881355932202</v>
      </c>
      <c r="G41" s="31">
        <f t="shared" si="10"/>
        <v>3187.5</v>
      </c>
      <c r="H41" s="14">
        <v>25500</v>
      </c>
    </row>
    <row r="42" spans="1:8" x14ac:dyDescent="0.2">
      <c r="A42" s="6">
        <v>12</v>
      </c>
      <c r="B42" s="6" t="s">
        <v>56</v>
      </c>
      <c r="C42" s="6" t="s">
        <v>61</v>
      </c>
      <c r="D42" s="7">
        <v>11</v>
      </c>
      <c r="E42" s="31">
        <f t="shared" si="8"/>
        <v>1964.5608628659475</v>
      </c>
      <c r="F42" s="31">
        <f t="shared" si="9"/>
        <v>353.6209553158705</v>
      </c>
      <c r="G42" s="31">
        <f t="shared" si="10"/>
        <v>2318.181818181818</v>
      </c>
      <c r="H42" s="14">
        <v>25500</v>
      </c>
    </row>
    <row r="43" spans="1:8" x14ac:dyDescent="0.2">
      <c r="A43" s="6">
        <v>13</v>
      </c>
      <c r="B43" s="6" t="s">
        <v>45</v>
      </c>
      <c r="C43" s="6" t="s">
        <v>61</v>
      </c>
      <c r="D43" s="7">
        <v>11</v>
      </c>
      <c r="E43" s="31">
        <f t="shared" si="8"/>
        <v>1964.5608628659475</v>
      </c>
      <c r="F43" s="31">
        <f t="shared" si="9"/>
        <v>353.6209553158705</v>
      </c>
      <c r="G43" s="31">
        <f t="shared" si="10"/>
        <v>2318.181818181818</v>
      </c>
      <c r="H43" s="14">
        <v>25500</v>
      </c>
    </row>
    <row r="44" spans="1:8" x14ac:dyDescent="0.2">
      <c r="A44" s="6">
        <v>14</v>
      </c>
      <c r="B44" s="6" t="s">
        <v>57</v>
      </c>
      <c r="C44" s="6" t="s">
        <v>61</v>
      </c>
      <c r="D44" s="7">
        <v>11</v>
      </c>
      <c r="E44" s="31">
        <f t="shared" si="8"/>
        <v>1964.5608628659475</v>
      </c>
      <c r="F44" s="31">
        <f t="shared" si="9"/>
        <v>353.6209553158705</v>
      </c>
      <c r="G44" s="31">
        <f t="shared" si="10"/>
        <v>2318.181818181818</v>
      </c>
      <c r="H44" s="14">
        <v>25500</v>
      </c>
    </row>
    <row r="45" spans="1:8" x14ac:dyDescent="0.2">
      <c r="A45" s="6">
        <v>15</v>
      </c>
      <c r="B45" s="6" t="s">
        <v>58</v>
      </c>
      <c r="C45" s="6" t="s">
        <v>62</v>
      </c>
      <c r="D45" s="7">
        <v>16</v>
      </c>
      <c r="E45" s="31">
        <f t="shared" si="8"/>
        <v>1350.6355932203389</v>
      </c>
      <c r="F45" s="31">
        <f t="shared" si="9"/>
        <v>243.11440677966101</v>
      </c>
      <c r="G45" s="31">
        <f t="shared" si="10"/>
        <v>1593.75</v>
      </c>
      <c r="H45" s="14">
        <v>25500</v>
      </c>
    </row>
    <row r="46" spans="1:8" x14ac:dyDescent="0.2">
      <c r="A46" s="4">
        <v>16</v>
      </c>
      <c r="B46" s="4" t="s">
        <v>59</v>
      </c>
      <c r="C46" s="4" t="s">
        <v>62</v>
      </c>
      <c r="D46" s="20">
        <v>16</v>
      </c>
      <c r="E46" s="31">
        <f t="shared" si="8"/>
        <v>1350.6355932203389</v>
      </c>
      <c r="F46" s="31">
        <f t="shared" si="9"/>
        <v>243.11440677966101</v>
      </c>
      <c r="G46" s="31">
        <f t="shared" si="10"/>
        <v>1593.75</v>
      </c>
      <c r="H46" s="14">
        <v>25500</v>
      </c>
    </row>
    <row r="47" spans="1:8" x14ac:dyDescent="0.2">
      <c r="A47" s="2"/>
      <c r="B47" s="40" t="s">
        <v>125</v>
      </c>
      <c r="C47" s="40"/>
      <c r="D47" s="40"/>
      <c r="E47" s="40"/>
      <c r="F47" s="40"/>
      <c r="G47" s="40"/>
      <c r="H47" s="40"/>
    </row>
    <row r="48" spans="1:8" x14ac:dyDescent="0.2">
      <c r="B48" s="38" t="s">
        <v>129</v>
      </c>
      <c r="C48" s="38"/>
      <c r="D48" s="38"/>
      <c r="E48" s="38"/>
      <c r="F48" s="38"/>
      <c r="G48" s="38"/>
      <c r="H48" s="38"/>
    </row>
    <row r="49" spans="1:8" x14ac:dyDescent="0.2">
      <c r="A49" s="3"/>
      <c r="B49" s="3"/>
      <c r="C49" s="3"/>
      <c r="D49" s="21"/>
      <c r="E49" s="3"/>
      <c r="F49" s="3"/>
      <c r="G49" s="3"/>
      <c r="H49" s="3"/>
    </row>
    <row r="50" spans="1:8" x14ac:dyDescent="0.2">
      <c r="A50" s="36" t="s">
        <v>65</v>
      </c>
      <c r="B50" s="37"/>
      <c r="C50" s="5"/>
      <c r="D50" s="19"/>
      <c r="E50" s="5"/>
      <c r="F50" s="5"/>
      <c r="G50" s="5"/>
      <c r="H50" s="5"/>
    </row>
    <row r="51" spans="1:8" x14ac:dyDescent="0.2">
      <c r="A51" s="6">
        <v>1</v>
      </c>
      <c r="B51" s="6" t="s">
        <v>66</v>
      </c>
      <c r="C51" s="6" t="s">
        <v>67</v>
      </c>
      <c r="D51" s="7">
        <v>12</v>
      </c>
      <c r="E51" s="31">
        <f t="shared" ref="E51:E57" si="11">+G51*0.847457627118644</f>
        <v>1800.8474576271185</v>
      </c>
      <c r="F51" s="31">
        <f t="shared" ref="F51:F57" si="12">+E51*0.18</f>
        <v>324.15254237288133</v>
      </c>
      <c r="G51" s="31">
        <f>+H51/D51</f>
        <v>2125</v>
      </c>
      <c r="H51" s="14">
        <v>25500</v>
      </c>
    </row>
    <row r="52" spans="1:8" x14ac:dyDescent="0.2">
      <c r="A52" s="6">
        <v>2</v>
      </c>
      <c r="B52" s="6" t="s">
        <v>68</v>
      </c>
      <c r="C52" s="6" t="s">
        <v>69</v>
      </c>
      <c r="D52" s="7">
        <v>22</v>
      </c>
      <c r="E52" s="31">
        <f t="shared" si="11"/>
        <v>982.28043143297373</v>
      </c>
      <c r="F52" s="31">
        <f t="shared" si="12"/>
        <v>176.81047765793525</v>
      </c>
      <c r="G52" s="31">
        <f t="shared" ref="G52:G57" si="13">+H52/D52</f>
        <v>1159.090909090909</v>
      </c>
      <c r="H52" s="14">
        <v>25500</v>
      </c>
    </row>
    <row r="53" spans="1:8" x14ac:dyDescent="0.2">
      <c r="A53" s="6">
        <v>3</v>
      </c>
      <c r="B53" s="6" t="s">
        <v>70</v>
      </c>
      <c r="C53" s="6" t="s">
        <v>67</v>
      </c>
      <c r="D53" s="7">
        <v>12</v>
      </c>
      <c r="E53" s="31">
        <f t="shared" si="11"/>
        <v>1800.8474576271185</v>
      </c>
      <c r="F53" s="31">
        <f t="shared" si="12"/>
        <v>324.15254237288133</v>
      </c>
      <c r="G53" s="31">
        <f t="shared" si="13"/>
        <v>2125</v>
      </c>
      <c r="H53" s="14">
        <v>25500</v>
      </c>
    </row>
    <row r="54" spans="1:8" x14ac:dyDescent="0.2">
      <c r="A54" s="6">
        <v>4</v>
      </c>
      <c r="B54" s="6" t="s">
        <v>71</v>
      </c>
      <c r="C54" s="6" t="s">
        <v>69</v>
      </c>
      <c r="D54" s="7">
        <v>22</v>
      </c>
      <c r="E54" s="31">
        <f t="shared" si="11"/>
        <v>982.28043143297373</v>
      </c>
      <c r="F54" s="31">
        <f t="shared" si="12"/>
        <v>176.81047765793525</v>
      </c>
      <c r="G54" s="31">
        <f t="shared" si="13"/>
        <v>1159.090909090909</v>
      </c>
      <c r="H54" s="14">
        <v>25500</v>
      </c>
    </row>
    <row r="55" spans="1:8" x14ac:dyDescent="0.2">
      <c r="A55" s="6">
        <v>5</v>
      </c>
      <c r="B55" s="6" t="s">
        <v>72</v>
      </c>
      <c r="C55" s="6" t="s">
        <v>67</v>
      </c>
      <c r="D55" s="7">
        <v>12</v>
      </c>
      <c r="E55" s="31">
        <f t="shared" si="11"/>
        <v>1800.8474576271185</v>
      </c>
      <c r="F55" s="31">
        <f t="shared" si="12"/>
        <v>324.15254237288133</v>
      </c>
      <c r="G55" s="31">
        <f t="shared" si="13"/>
        <v>2125</v>
      </c>
      <c r="H55" s="14">
        <v>25500</v>
      </c>
    </row>
    <row r="56" spans="1:8" x14ac:dyDescent="0.2">
      <c r="A56" s="6">
        <v>6</v>
      </c>
      <c r="B56" s="6" t="s">
        <v>73</v>
      </c>
      <c r="C56" s="6"/>
      <c r="D56" s="7">
        <v>21</v>
      </c>
      <c r="E56" s="31">
        <f t="shared" si="11"/>
        <v>1029.0556900726392</v>
      </c>
      <c r="F56" s="31">
        <f t="shared" si="12"/>
        <v>185.23002421307504</v>
      </c>
      <c r="G56" s="31">
        <f t="shared" si="13"/>
        <v>1214.2857142857142</v>
      </c>
      <c r="H56" s="14">
        <v>25500</v>
      </c>
    </row>
    <row r="57" spans="1:8" x14ac:dyDescent="0.2">
      <c r="A57" s="6">
        <v>7</v>
      </c>
      <c r="B57" s="6" t="s">
        <v>74</v>
      </c>
      <c r="C57" s="6"/>
      <c r="D57" s="7">
        <v>21</v>
      </c>
      <c r="E57" s="31">
        <f t="shared" si="11"/>
        <v>1029.0556900726392</v>
      </c>
      <c r="F57" s="31">
        <f t="shared" si="12"/>
        <v>185.23002421307504</v>
      </c>
      <c r="G57" s="31">
        <f t="shared" si="13"/>
        <v>1214.2857142857142</v>
      </c>
      <c r="H57" s="14">
        <v>25500</v>
      </c>
    </row>
    <row r="58" spans="1:8" x14ac:dyDescent="0.2">
      <c r="A58" s="4"/>
      <c r="B58" s="4"/>
      <c r="C58" s="4"/>
      <c r="D58" s="20"/>
      <c r="E58" s="4"/>
      <c r="F58" s="4"/>
      <c r="G58" s="4"/>
      <c r="H58" s="4"/>
    </row>
    <row r="59" spans="1:8" x14ac:dyDescent="0.2">
      <c r="A59" s="2"/>
      <c r="B59" s="40" t="s">
        <v>125</v>
      </c>
      <c r="C59" s="40"/>
      <c r="D59" s="40"/>
      <c r="E59" s="40"/>
      <c r="F59" s="40"/>
      <c r="G59" s="40"/>
      <c r="H59" s="40"/>
    </row>
    <row r="60" spans="1:8" x14ac:dyDescent="0.2">
      <c r="B60" s="38" t="s">
        <v>129</v>
      </c>
      <c r="C60" s="38"/>
      <c r="D60" s="38"/>
      <c r="E60" s="38"/>
      <c r="F60" s="38"/>
      <c r="G60" s="38"/>
      <c r="H60" s="38"/>
    </row>
    <row r="61" spans="1:8" x14ac:dyDescent="0.2">
      <c r="A61" s="3"/>
      <c r="B61" s="3"/>
      <c r="C61" s="3"/>
      <c r="D61" s="21"/>
      <c r="E61" s="3"/>
      <c r="F61" s="3"/>
      <c r="G61" s="3"/>
      <c r="H61" s="3"/>
    </row>
    <row r="62" spans="1:8" x14ac:dyDescent="0.2">
      <c r="A62" s="36" t="s">
        <v>75</v>
      </c>
      <c r="B62" s="37"/>
      <c r="C62" s="5"/>
      <c r="D62" s="19"/>
      <c r="E62" s="5"/>
      <c r="F62" s="5"/>
      <c r="G62" s="5"/>
      <c r="H62" s="5"/>
    </row>
    <row r="63" spans="1:8" x14ac:dyDescent="0.2">
      <c r="A63" s="6">
        <v>1</v>
      </c>
      <c r="B63" s="6" t="s">
        <v>76</v>
      </c>
      <c r="C63" s="6" t="s">
        <v>77</v>
      </c>
      <c r="D63" s="7">
        <v>1</v>
      </c>
      <c r="E63" s="31">
        <f t="shared" ref="E63:E66" si="14">+G63*0.847457627118644</f>
        <v>9745.7627118644068</v>
      </c>
      <c r="F63" s="31">
        <f t="shared" ref="F63:F66" si="15">+E63*0.18</f>
        <v>1754.2372881355932</v>
      </c>
      <c r="G63" s="6">
        <v>11500</v>
      </c>
      <c r="H63" s="14"/>
    </row>
    <row r="64" spans="1:8" x14ac:dyDescent="0.2">
      <c r="A64" s="6">
        <v>2</v>
      </c>
      <c r="B64" s="6" t="s">
        <v>76</v>
      </c>
      <c r="C64" s="6" t="s">
        <v>77</v>
      </c>
      <c r="D64" s="7">
        <v>1</v>
      </c>
      <c r="E64" s="31">
        <f t="shared" si="14"/>
        <v>9745.7627118644068</v>
      </c>
      <c r="F64" s="31">
        <f t="shared" si="15"/>
        <v>1754.2372881355932</v>
      </c>
      <c r="G64" s="6">
        <v>11500</v>
      </c>
      <c r="H64" s="14"/>
    </row>
    <row r="65" spans="1:8" x14ac:dyDescent="0.2">
      <c r="A65" s="6">
        <v>3</v>
      </c>
      <c r="B65" s="6" t="s">
        <v>78</v>
      </c>
      <c r="C65" s="6" t="s">
        <v>80</v>
      </c>
      <c r="D65" s="7">
        <v>1</v>
      </c>
      <c r="E65" s="31">
        <f t="shared" si="14"/>
        <v>11440.677966101694</v>
      </c>
      <c r="F65" s="31">
        <f t="shared" si="15"/>
        <v>2059.3220338983047</v>
      </c>
      <c r="G65" s="6">
        <v>13500</v>
      </c>
      <c r="H65" s="14"/>
    </row>
    <row r="66" spans="1:8" x14ac:dyDescent="0.2">
      <c r="A66" s="6">
        <v>4</v>
      </c>
      <c r="B66" s="6" t="s">
        <v>79</v>
      </c>
      <c r="C66" s="6" t="s">
        <v>80</v>
      </c>
      <c r="D66" s="7">
        <v>1</v>
      </c>
      <c r="E66" s="31">
        <f t="shared" si="14"/>
        <v>11440.677966101694</v>
      </c>
      <c r="F66" s="31">
        <f t="shared" si="15"/>
        <v>2059.3220338983047</v>
      </c>
      <c r="G66" s="6">
        <v>13500</v>
      </c>
      <c r="H66" s="14"/>
    </row>
    <row r="67" spans="1:8" x14ac:dyDescent="0.2">
      <c r="A67" s="4"/>
      <c r="B67" s="4"/>
      <c r="C67" s="4"/>
      <c r="D67" s="20"/>
      <c r="E67" s="4"/>
      <c r="F67" s="4"/>
      <c r="G67" s="4"/>
      <c r="H67" s="4"/>
    </row>
    <row r="68" spans="1:8" x14ac:dyDescent="0.2">
      <c r="A68" s="2"/>
      <c r="B68" s="2"/>
      <c r="C68" s="2"/>
      <c r="D68" s="22"/>
      <c r="E68" s="2"/>
      <c r="F68" s="2"/>
      <c r="G68" s="2"/>
      <c r="H68" s="2"/>
    </row>
    <row r="69" spans="1:8" x14ac:dyDescent="0.2">
      <c r="A69" s="36" t="s">
        <v>81</v>
      </c>
      <c r="B69" s="37"/>
      <c r="C69" s="6"/>
      <c r="D69" s="7"/>
      <c r="E69" s="6"/>
      <c r="F69" s="6"/>
      <c r="G69" s="6"/>
      <c r="H69" s="6"/>
    </row>
    <row r="70" spans="1:8" x14ac:dyDescent="0.2">
      <c r="A70" s="6">
        <v>1</v>
      </c>
      <c r="B70" s="6" t="s">
        <v>84</v>
      </c>
      <c r="C70" s="6" t="s">
        <v>91</v>
      </c>
      <c r="D70" s="7">
        <v>1</v>
      </c>
      <c r="E70" s="31">
        <f t="shared" ref="E70:E75" si="16">+G70*0.847457627118644</f>
        <v>9745.7627118644068</v>
      </c>
      <c r="F70" s="31">
        <f t="shared" ref="F70:F75" si="17">+E70*0.18</f>
        <v>1754.2372881355932</v>
      </c>
      <c r="G70" s="6">
        <v>11500</v>
      </c>
      <c r="H70" s="14"/>
    </row>
    <row r="71" spans="1:8" x14ac:dyDescent="0.2">
      <c r="A71" s="6">
        <v>2</v>
      </c>
      <c r="B71" s="6" t="s">
        <v>82</v>
      </c>
      <c r="C71" s="6" t="s">
        <v>92</v>
      </c>
      <c r="D71" s="7">
        <v>1</v>
      </c>
      <c r="E71" s="31">
        <f t="shared" si="16"/>
        <v>11440.677966101694</v>
      </c>
      <c r="F71" s="31">
        <f t="shared" si="17"/>
        <v>2059.3220338983047</v>
      </c>
      <c r="G71" s="6">
        <v>13500</v>
      </c>
      <c r="H71" s="14"/>
    </row>
    <row r="72" spans="1:8" x14ac:dyDescent="0.2">
      <c r="A72" s="6">
        <v>3</v>
      </c>
      <c r="B72" s="6" t="s">
        <v>83</v>
      </c>
      <c r="C72" s="6" t="s">
        <v>92</v>
      </c>
      <c r="D72" s="7">
        <v>1</v>
      </c>
      <c r="E72" s="31">
        <f t="shared" si="16"/>
        <v>11440.677966101694</v>
      </c>
      <c r="F72" s="31">
        <f t="shared" si="17"/>
        <v>2059.3220338983047</v>
      </c>
      <c r="G72" s="6">
        <v>13500</v>
      </c>
      <c r="H72" s="14"/>
    </row>
    <row r="73" spans="1:8" x14ac:dyDescent="0.2">
      <c r="A73" s="6">
        <v>5</v>
      </c>
      <c r="B73" s="6" t="s">
        <v>86</v>
      </c>
      <c r="C73" s="6" t="s">
        <v>93</v>
      </c>
      <c r="D73" s="7">
        <v>1</v>
      </c>
      <c r="E73" s="31">
        <f t="shared" si="16"/>
        <v>14830.508474576271</v>
      </c>
      <c r="F73" s="31">
        <f t="shared" si="17"/>
        <v>2669.4915254237285</v>
      </c>
      <c r="G73" s="6">
        <v>17500</v>
      </c>
      <c r="H73" s="14"/>
    </row>
    <row r="74" spans="1:8" x14ac:dyDescent="0.2">
      <c r="A74" s="6">
        <v>8</v>
      </c>
      <c r="B74" s="6" t="s">
        <v>89</v>
      </c>
      <c r="C74" s="6" t="s">
        <v>95</v>
      </c>
      <c r="D74" s="7">
        <v>1</v>
      </c>
      <c r="E74" s="31">
        <f t="shared" si="16"/>
        <v>11440.677966101694</v>
      </c>
      <c r="F74" s="31">
        <f t="shared" si="17"/>
        <v>2059.3220338983047</v>
      </c>
      <c r="G74" s="6">
        <v>13500</v>
      </c>
      <c r="H74" s="14"/>
    </row>
    <row r="75" spans="1:8" x14ac:dyDescent="0.2">
      <c r="A75" s="6">
        <v>9</v>
      </c>
      <c r="B75" s="6" t="s">
        <v>90</v>
      </c>
      <c r="C75" s="6" t="s">
        <v>96</v>
      </c>
      <c r="D75" s="7">
        <v>1</v>
      </c>
      <c r="E75" s="31">
        <f t="shared" si="16"/>
        <v>14830.508474576271</v>
      </c>
      <c r="F75" s="31">
        <f t="shared" si="17"/>
        <v>2669.4915254237285</v>
      </c>
      <c r="G75" s="6">
        <v>17500</v>
      </c>
      <c r="H75" s="14"/>
    </row>
    <row r="76" spans="1:8" x14ac:dyDescent="0.2">
      <c r="A76" s="4"/>
      <c r="B76" s="4"/>
      <c r="C76" s="4"/>
      <c r="D76" s="20"/>
      <c r="E76" s="4"/>
      <c r="F76" s="4"/>
      <c r="G76" s="4"/>
      <c r="H76" s="4"/>
    </row>
    <row r="77" spans="1:8" x14ac:dyDescent="0.2">
      <c r="A77" s="2"/>
      <c r="B77" s="2"/>
      <c r="C77" s="2"/>
      <c r="D77" s="22"/>
      <c r="E77" s="2"/>
      <c r="F77" s="2"/>
      <c r="G77" s="2"/>
      <c r="H77" s="2"/>
    </row>
    <row r="78" spans="1:8" x14ac:dyDescent="0.2">
      <c r="A78" s="36" t="s">
        <v>97</v>
      </c>
      <c r="B78" s="37"/>
      <c r="C78" s="6"/>
      <c r="D78" s="7"/>
      <c r="E78" s="6"/>
      <c r="F78" s="6"/>
      <c r="G78" s="6"/>
      <c r="H78" s="6"/>
    </row>
    <row r="79" spans="1:8" x14ac:dyDescent="0.2">
      <c r="A79" s="6">
        <v>1</v>
      </c>
      <c r="B79" s="6" t="s">
        <v>98</v>
      </c>
      <c r="C79" s="6" t="s">
        <v>99</v>
      </c>
      <c r="D79" s="7">
        <v>1</v>
      </c>
      <c r="E79" s="6">
        <v>1300</v>
      </c>
      <c r="F79" s="31">
        <f t="shared" ref="F79:F82" si="18">+E79*0.18</f>
        <v>234</v>
      </c>
      <c r="G79" s="6">
        <f>SUM(E79:F79)</f>
        <v>1534</v>
      </c>
      <c r="H79" s="6"/>
    </row>
    <row r="80" spans="1:8" x14ac:dyDescent="0.2">
      <c r="A80" s="6">
        <v>2</v>
      </c>
      <c r="B80" s="6" t="s">
        <v>98</v>
      </c>
      <c r="C80" s="6" t="s">
        <v>100</v>
      </c>
      <c r="D80" s="7">
        <v>1</v>
      </c>
      <c r="E80" s="6">
        <v>1500</v>
      </c>
      <c r="F80" s="31">
        <f t="shared" si="18"/>
        <v>270</v>
      </c>
      <c r="G80" s="6">
        <f t="shared" ref="G80:G82" si="19">SUM(E80:F80)</f>
        <v>1770</v>
      </c>
      <c r="H80" s="6"/>
    </row>
    <row r="81" spans="1:8" x14ac:dyDescent="0.2">
      <c r="A81" s="6">
        <v>3</v>
      </c>
      <c r="B81" s="6" t="s">
        <v>101</v>
      </c>
      <c r="C81" s="6" t="s">
        <v>100</v>
      </c>
      <c r="D81" s="7">
        <v>1</v>
      </c>
      <c r="E81" s="6">
        <v>1900</v>
      </c>
      <c r="F81" s="31">
        <f t="shared" si="18"/>
        <v>342</v>
      </c>
      <c r="G81" s="6">
        <f t="shared" si="19"/>
        <v>2242</v>
      </c>
      <c r="H81" s="6"/>
    </row>
    <row r="82" spans="1:8" x14ac:dyDescent="0.2">
      <c r="A82" s="4">
        <v>4</v>
      </c>
      <c r="B82" s="4" t="s">
        <v>102</v>
      </c>
      <c r="C82" s="4" t="s">
        <v>100</v>
      </c>
      <c r="D82" s="20">
        <v>1</v>
      </c>
      <c r="E82" s="4">
        <v>1600</v>
      </c>
      <c r="F82" s="31">
        <f t="shared" si="18"/>
        <v>288</v>
      </c>
      <c r="G82" s="6">
        <f t="shared" si="19"/>
        <v>1888</v>
      </c>
      <c r="H82" s="4"/>
    </row>
    <row r="83" spans="1:8" x14ac:dyDescent="0.2">
      <c r="A83" s="2"/>
      <c r="B83" s="2"/>
      <c r="C83" s="2"/>
      <c r="D83" s="22"/>
      <c r="E83" s="2"/>
      <c r="F83" s="2"/>
      <c r="G83" s="2"/>
      <c r="H83" s="2"/>
    </row>
    <row r="84" spans="1:8" x14ac:dyDescent="0.2">
      <c r="A84" s="36" t="s">
        <v>103</v>
      </c>
      <c r="B84" s="37"/>
      <c r="C84" s="6"/>
      <c r="D84" s="7"/>
      <c r="E84" s="6"/>
      <c r="F84" s="6"/>
      <c r="G84" s="6"/>
      <c r="H84" s="6"/>
    </row>
    <row r="85" spans="1:8" x14ac:dyDescent="0.2">
      <c r="A85" s="6">
        <v>1</v>
      </c>
      <c r="B85" s="6" t="s">
        <v>104</v>
      </c>
      <c r="C85" s="6" t="s">
        <v>112</v>
      </c>
      <c r="D85" s="7">
        <v>1</v>
      </c>
      <c r="E85" s="6">
        <v>63559</v>
      </c>
      <c r="F85" s="31">
        <v>11441</v>
      </c>
      <c r="G85" s="14">
        <v>76000</v>
      </c>
      <c r="H85" s="14"/>
    </row>
    <row r="86" spans="1:8" x14ac:dyDescent="0.2">
      <c r="A86" s="6">
        <v>2</v>
      </c>
      <c r="B86" s="6" t="s">
        <v>105</v>
      </c>
      <c r="C86" s="6" t="s">
        <v>112</v>
      </c>
      <c r="D86" s="7">
        <v>1</v>
      </c>
      <c r="E86" s="6">
        <v>80508</v>
      </c>
      <c r="F86" s="31">
        <v>14492</v>
      </c>
      <c r="G86" s="14">
        <v>96000</v>
      </c>
      <c r="H86" s="14"/>
    </row>
    <row r="87" spans="1:8" x14ac:dyDescent="0.2">
      <c r="A87" s="6">
        <v>3</v>
      </c>
      <c r="B87" s="6" t="s">
        <v>106</v>
      </c>
      <c r="C87" s="6" t="s">
        <v>111</v>
      </c>
      <c r="D87" s="7">
        <v>1</v>
      </c>
      <c r="E87" s="6">
        <v>80508</v>
      </c>
      <c r="F87" s="31">
        <v>14492</v>
      </c>
      <c r="G87" s="14">
        <v>96000</v>
      </c>
      <c r="H87" s="14"/>
    </row>
    <row r="88" spans="1:8" x14ac:dyDescent="0.2">
      <c r="A88" s="6">
        <v>4</v>
      </c>
      <c r="B88" s="6" t="s">
        <v>107</v>
      </c>
      <c r="C88" s="6" t="s">
        <v>111</v>
      </c>
      <c r="D88" s="7">
        <v>1</v>
      </c>
      <c r="E88" s="6">
        <v>97458</v>
      </c>
      <c r="F88" s="31">
        <v>17542</v>
      </c>
      <c r="G88" s="14">
        <v>116000</v>
      </c>
      <c r="H88" s="14"/>
    </row>
    <row r="89" spans="1:8" x14ac:dyDescent="0.2">
      <c r="A89" s="6">
        <v>5</v>
      </c>
      <c r="B89" s="6" t="s">
        <v>108</v>
      </c>
      <c r="C89" s="6" t="s">
        <v>110</v>
      </c>
      <c r="D89" s="7">
        <v>1</v>
      </c>
      <c r="E89" s="6">
        <v>97458</v>
      </c>
      <c r="F89" s="31">
        <v>17542</v>
      </c>
      <c r="G89" s="14">
        <v>116000</v>
      </c>
      <c r="H89" s="14"/>
    </row>
    <row r="90" spans="1:8" x14ac:dyDescent="0.2">
      <c r="A90" s="4">
        <v>6</v>
      </c>
      <c r="B90" s="4" t="s">
        <v>109</v>
      </c>
      <c r="C90" s="4" t="s">
        <v>110</v>
      </c>
      <c r="D90" s="20">
        <v>1</v>
      </c>
      <c r="E90" s="4">
        <v>122881</v>
      </c>
      <c r="F90" s="32">
        <v>22119</v>
      </c>
      <c r="G90" s="24">
        <v>146000</v>
      </c>
      <c r="H90" s="24"/>
    </row>
    <row r="91" spans="1:8" x14ac:dyDescent="0.2">
      <c r="A91" s="2"/>
      <c r="B91" s="2"/>
      <c r="C91" s="2"/>
      <c r="D91" s="22"/>
      <c r="E91" s="2"/>
      <c r="F91" s="2"/>
      <c r="G91" s="2"/>
      <c r="H91" s="2"/>
    </row>
    <row r="92" spans="1:8" x14ac:dyDescent="0.2">
      <c r="A92" s="36" t="s">
        <v>130</v>
      </c>
      <c r="B92" s="37"/>
      <c r="C92" s="6"/>
      <c r="D92" s="7"/>
      <c r="E92" s="6"/>
      <c r="F92" s="6"/>
      <c r="G92" s="6"/>
      <c r="H92" s="6"/>
    </row>
    <row r="93" spans="1:8" x14ac:dyDescent="0.2">
      <c r="A93" s="6">
        <v>1</v>
      </c>
      <c r="B93" s="6" t="s">
        <v>131</v>
      </c>
      <c r="C93" s="6"/>
      <c r="D93" s="7">
        <v>1</v>
      </c>
      <c r="E93" s="31">
        <f t="shared" ref="E93:E94" si="20">+G93*0.847457627118644</f>
        <v>22033.898305084746</v>
      </c>
      <c r="F93" s="31">
        <f t="shared" ref="F93:F94" si="21">+E93*0.18</f>
        <v>3966.101694915254</v>
      </c>
      <c r="G93" s="31">
        <v>26000</v>
      </c>
      <c r="H93" s="6"/>
    </row>
    <row r="94" spans="1:8" x14ac:dyDescent="0.2">
      <c r="A94" s="6">
        <v>2</v>
      </c>
      <c r="B94" s="6" t="s">
        <v>132</v>
      </c>
      <c r="C94" s="6"/>
      <c r="D94" s="7">
        <v>1</v>
      </c>
      <c r="E94" s="31">
        <f t="shared" si="20"/>
        <v>6779.6610169491523</v>
      </c>
      <c r="F94" s="31">
        <f t="shared" si="21"/>
        <v>1220.3389830508474</v>
      </c>
      <c r="G94" s="31">
        <v>8000</v>
      </c>
      <c r="H94" s="6"/>
    </row>
    <row r="95" spans="1:8" x14ac:dyDescent="0.2">
      <c r="D95" s="15"/>
    </row>
    <row r="96" spans="1:8" x14ac:dyDescent="0.2">
      <c r="D96" s="15"/>
    </row>
    <row r="97" spans="4:4" x14ac:dyDescent="0.2">
      <c r="D97" s="15"/>
    </row>
    <row r="98" spans="4:4" x14ac:dyDescent="0.2">
      <c r="D98" s="15"/>
    </row>
    <row r="99" spans="4:4" x14ac:dyDescent="0.2">
      <c r="D99" s="15"/>
    </row>
    <row r="100" spans="4:4" x14ac:dyDescent="0.2">
      <c r="D100" s="15"/>
    </row>
    <row r="101" spans="4:4" x14ac:dyDescent="0.2">
      <c r="D101" s="15"/>
    </row>
    <row r="102" spans="4:4" x14ac:dyDescent="0.2">
      <c r="D102" s="15"/>
    </row>
    <row r="103" spans="4:4" x14ac:dyDescent="0.2">
      <c r="D103" s="15"/>
    </row>
    <row r="104" spans="4:4" x14ac:dyDescent="0.2">
      <c r="D104" s="15"/>
    </row>
    <row r="105" spans="4:4" x14ac:dyDescent="0.2">
      <c r="D105" s="15"/>
    </row>
    <row r="106" spans="4:4" x14ac:dyDescent="0.2">
      <c r="D106" s="15"/>
    </row>
    <row r="107" spans="4:4" x14ac:dyDescent="0.2">
      <c r="D107" s="15"/>
    </row>
    <row r="108" spans="4:4" x14ac:dyDescent="0.2">
      <c r="D108" s="15"/>
    </row>
    <row r="109" spans="4:4" x14ac:dyDescent="0.2">
      <c r="D109" s="15"/>
    </row>
    <row r="110" spans="4:4" x14ac:dyDescent="0.2">
      <c r="D110" s="15"/>
    </row>
    <row r="111" spans="4:4" x14ac:dyDescent="0.2">
      <c r="D111" s="15"/>
    </row>
    <row r="112" spans="4:4" x14ac:dyDescent="0.2">
      <c r="D112" s="15"/>
    </row>
    <row r="113" spans="4:4" x14ac:dyDescent="0.2">
      <c r="D113" s="15"/>
    </row>
    <row r="114" spans="4:4" x14ac:dyDescent="0.2">
      <c r="D114" s="15"/>
    </row>
    <row r="115" spans="4:4" x14ac:dyDescent="0.2">
      <c r="D115" s="15"/>
    </row>
    <row r="116" spans="4:4" x14ac:dyDescent="0.2">
      <c r="D116" s="15"/>
    </row>
    <row r="117" spans="4:4" x14ac:dyDescent="0.2">
      <c r="D117" s="15"/>
    </row>
    <row r="118" spans="4:4" x14ac:dyDescent="0.2">
      <c r="D118" s="15"/>
    </row>
    <row r="119" spans="4:4" x14ac:dyDescent="0.2">
      <c r="D119" s="15"/>
    </row>
  </sheetData>
  <mergeCells count="18">
    <mergeCell ref="B2:G2"/>
    <mergeCell ref="A5:B5"/>
    <mergeCell ref="A17:H17"/>
    <mergeCell ref="A19:B19"/>
    <mergeCell ref="B26:H26"/>
    <mergeCell ref="A25:H25"/>
    <mergeCell ref="A92:B92"/>
    <mergeCell ref="A84:B84"/>
    <mergeCell ref="A16:H16"/>
    <mergeCell ref="B47:H47"/>
    <mergeCell ref="B48:H48"/>
    <mergeCell ref="B59:H59"/>
    <mergeCell ref="A50:B50"/>
    <mergeCell ref="B60:H60"/>
    <mergeCell ref="A62:B62"/>
    <mergeCell ref="A69:B69"/>
    <mergeCell ref="A78:B78"/>
    <mergeCell ref="A28:B28"/>
  </mergeCells>
  <pageMargins left="0.25" right="0.25" top="0.5" bottom="0.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mwanza</vt:lpstr>
      <vt:lpstr>Dar</vt:lpstr>
      <vt:lpstr>dodoma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stuart kimaro</dc:creator>
  <cp:lastModifiedBy>Finance Stumarcot</cp:lastModifiedBy>
  <cp:lastPrinted>2025-10-25T12:46:50Z</cp:lastPrinted>
  <dcterms:created xsi:type="dcterms:W3CDTF">2025-10-04T12:50:59Z</dcterms:created>
  <dcterms:modified xsi:type="dcterms:W3CDTF">2026-04-27T07:31:34Z</dcterms:modified>
</cp:coreProperties>
</file>